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olton/Desktop/CodexProj/outputs/supply_chain_eda/"/>
    </mc:Choice>
  </mc:AlternateContent>
  <xr:revisionPtr revIDLastSave="0" documentId="13_ncr:1_{E3BDBA23-60FB-6045-98AC-A48EC0D9B272}" xr6:coauthVersionLast="47" xr6:coauthVersionMax="47" xr10:uidLastSave="{00000000-0000-0000-0000-000000000000}"/>
  <bookViews>
    <workbookView xWindow="0" yWindow="500" windowWidth="28800" windowHeight="15740" firstSheet="1" activeTab="1" xr2:uid="{00000000-000D-0000-FFFF-FFFF00000000}"/>
  </bookViews>
  <sheets>
    <sheet name="Executive Summary" sheetId="1" r:id="rId1"/>
    <sheet name="SCAN Insights Log" sheetId="2" r:id="rId2"/>
    <sheet name="Monthly Trends" sheetId="3" r:id="rId3"/>
    <sheet name="Category Performance" sheetId="4" r:id="rId4"/>
    <sheet name="Shipping Risk" sheetId="5" r:id="rId5"/>
    <sheet name="Digital Demand" sheetId="6" r:id="rId6"/>
    <sheet name="Data Coverage" sheetId="7" r:id="rId7"/>
    <sheet name="Raw Pivot Tables" sheetId="8" r:id="rId8"/>
  </sheets>
  <calcPr calcId="0"/>
</workbook>
</file>

<file path=xl/sharedStrings.xml><?xml version="1.0" encoding="utf-8"?>
<sst xmlns="http://schemas.openxmlformats.org/spreadsheetml/2006/main" count="338" uniqueCount="260">
  <si>
    <t>DataCo Supply Chain EDA</t>
  </si>
  <si>
    <t>Stakeholder-ready summary using SQL and Excel-style pivot analysis. Data spans order lines from 2015-01-01 to 2018-01-31; access logs span 2017-09-01 to 2018-01-31.</t>
  </si>
  <si>
    <t>Gross sales</t>
  </si>
  <si>
    <t>Profit</t>
  </si>
  <si>
    <t>Profit margin</t>
  </si>
  <si>
    <t>Late delivery rate</t>
  </si>
  <si>
    <t>Distinct orders</t>
  </si>
  <si>
    <t>Products / categories</t>
  </si>
  <si>
    <t>118 / 50</t>
  </si>
  <si>
    <t>Top category</t>
  </si>
  <si>
    <t>Fishing (18.8% of sales)</t>
  </si>
  <si>
    <t>Top 8 category share</t>
  </si>
  <si>
    <t>Team</t>
  </si>
  <si>
    <t>Insight Type</t>
  </si>
  <si>
    <t>Finding</t>
  </si>
  <si>
    <t>Recommendation</t>
  </si>
  <si>
    <t>Operations</t>
  </si>
  <si>
    <t>Actionable</t>
  </si>
  <si>
    <t>First Class and Second Class carry the highest late-delivery risk: 95.3% and 76.6%.</t>
  </si>
  <si>
    <t>Recalibrate delivery promises or carrier routing for expedited modes before expanding them.</t>
  </si>
  <si>
    <t>Finance</t>
  </si>
  <si>
    <t>Directional</t>
  </si>
  <si>
    <t>Eight categories generate 84.9% of sales and 84.9% of profit.</t>
  </si>
  <si>
    <t>Prioritize forecast accuracy and margin reviews for the concentrated core assortment.</t>
  </si>
  <si>
    <t>E-commerce</t>
  </si>
  <si>
    <t>Several high-pageview products show very low sales per 1K pageviews.</t>
  </si>
  <si>
    <t>Audit product detail pages, pricing, availability, and checkout friction for those SKUs.</t>
  </si>
  <si>
    <t>Data</t>
  </si>
  <si>
    <t>Canceled and suspected-fraud rows still represent 4.3% of recorded sales.</t>
  </si>
  <si>
    <t>Confirm whether stakeholder reporting should include or exclude non-completed statuses.</t>
  </si>
  <si>
    <t>SCAN Insights Log</t>
  </si>
  <si>
    <t>The transcript-guided working log: stakeholder goals, columns/coverage, aggregates/anomalies, and notable segments.</t>
  </si>
  <si>
    <t>SCAN Step</t>
  </si>
  <si>
    <t>Analyst Question</t>
  </si>
  <si>
    <t>Evidence</t>
  </si>
  <si>
    <t>Interpretation</t>
  </si>
  <si>
    <t>Stakeholder</t>
  </si>
  <si>
    <t>Stakeholder Goals</t>
  </si>
  <si>
    <t>How are sales, profit, fulfillment, and site demand trending?</t>
  </si>
  <si>
    <t>North Star metrics: Sales, profit margin, late-delivery rate, orders, sales per 1K pageviews.</t>
  </si>
  <si>
    <t>The project supports finance, operations, and e-commerce prioritization.</t>
  </si>
  <si>
    <t>Finance / Ops / E-commerce</t>
  </si>
  <si>
    <t>Columns &amp; Coverage</t>
  </si>
  <si>
    <t>Can the data answer the stakeholder question?</t>
  </si>
  <si>
    <t>180,519 order lines, 65,752 orders, 118 products, 50 categories.</t>
  </si>
  <si>
    <t>Orders cover 2015-Jan 2018; access logs cover Sep 2017-Jan 2018, so demand analysis is limited to that window.</t>
  </si>
  <si>
    <t>Aggregates &amp; Anomalies</t>
  </si>
  <si>
    <t>What are the high-level metrics and obvious risks?</t>
  </si>
  <si>
    <t>$36.8M gross sales, 10.8% margin, 54.8% late delivery rate.</t>
  </si>
  <si>
    <t>Late delivery is the clearest operational issue; status handling is a reporting caveat.</t>
  </si>
  <si>
    <t>Operations / Data</t>
  </si>
  <si>
    <t>Notable Segments</t>
  </si>
  <si>
    <t>Which slices explain performance?</t>
  </si>
  <si>
    <t>Top eight categories drive 84.9% of sales and profit; First/Second Class drive high late risk.</t>
  </si>
  <si>
    <t>Assortment concentration and shipping promises are the first deep-dive candidates.</t>
  </si>
  <si>
    <t>Finance / Operations</t>
  </si>
  <si>
    <t>Recommendation Mapping</t>
  </si>
  <si>
    <t>What can the teams do next?</t>
  </si>
  <si>
    <t>High-view/low-sales products and risky shipping modes create clear follow-up work.</t>
  </si>
  <si>
    <t>The strongest recommendations are operational promise review and e-commerce page audits.</t>
  </si>
  <si>
    <t>E-commerce / Operations</t>
  </si>
  <si>
    <t>Monthly Trends</t>
  </si>
  <si>
    <t>Pivot-style monthly summary for sales, profit, order volume, AOV, and late delivery risk.</t>
  </si>
  <si>
    <t>Month</t>
  </si>
  <si>
    <t>Orders</t>
  </si>
  <si>
    <t>Sales</t>
  </si>
  <si>
    <t>Margin</t>
  </si>
  <si>
    <t>AOV</t>
  </si>
  <si>
    <t>Late Rate</t>
  </si>
  <si>
    <t>Avg Discount</t>
  </si>
  <si>
    <t>MoM Sales %</t>
  </si>
  <si>
    <t>YoY Sales %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</si>
  <si>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</si>
  <si>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</si>
  <si>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</si>
  <si>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</si>
  <si>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</si>
  <si>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</si>
  <si>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</si>
  <si>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</si>
  <si>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</si>
  <si>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</si>
  <si>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</si>
  <si>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</si>
  <si>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</si>
  <si>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</si>
  <si>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</si>
  <si>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</si>
  <si>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</si>
  <si>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</si>
  <si>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</si>
  <si>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</si>
  <si>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</si>
  <si>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</si>
  <si>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</si>
  <si>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</si>
  <si>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</si>
  <si>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</si>
  <si>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</si>
  <si>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</si>
  <si>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</si>
  <si>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</si>
  <si>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</si>
  <si>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</si>
  <si>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</si>
  <si>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</si>
  <si>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</si>
  <si>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</si>
  <si>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</si>
  <si>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Category Performance</t>
  </si>
  <si>
    <t>Pivot-style category view highlighting assortment concentration, margin, and fulfillment risk.</t>
  </si>
  <si>
    <t>Category</t>
  </si>
  <si>
    <t>Quantity</t>
  </si>
  <si>
    <t>Sales Share</t>
  </si>
  <si>
    <t>Neg Profit Rate</t>
  </si>
  <si>
    <t>Fishing</t>
  </si>
  <si>
    <t>Cleats</t>
  </si>
  <si>
    <t>Camping &amp; Hiking</t>
  </si>
  <si>
    <t>Cardio Equipment</t>
  </si>
  <si>
    <t>Women's Apparel</t>
  </si>
  <si>
    <t>Water Sports</t>
  </si>
  <si>
    <t>Men's Footwear</t>
  </si>
  <si>
    <t>Indoor/Outdoor Games</t>
  </si>
  <si>
    <t>Shop By Sport</t>
  </si>
  <si>
    <t>Computers</t>
  </si>
  <si>
    <t>Electronics</t>
  </si>
  <si>
    <t>Cameras</t>
  </si>
  <si>
    <t>Garden</t>
  </si>
  <si>
    <t>Children's Clothing</t>
  </si>
  <si>
    <t>Crafts</t>
  </si>
  <si>
    <t>Girls' Apparel</t>
  </si>
  <si>
    <t>Women's Clothing</t>
  </si>
  <si>
    <t>Accessories</t>
  </si>
  <si>
    <t>Sporting Goods</t>
  </si>
  <si>
    <t>Golf Gloves</t>
  </si>
  <si>
    <t>Music</t>
  </si>
  <si>
    <t>Consumer Electronics</t>
  </si>
  <si>
    <t>Golf Shoes</t>
  </si>
  <si>
    <t>Health and Beauty</t>
  </si>
  <si>
    <t>Kids' Golf Clubs</t>
  </si>
  <si>
    <t>Shipping Risk</t>
  </si>
  <si>
    <t>Fulfillment-risk view by shipping mode, built to mimic a pivot table plus conditional formatting.</t>
  </si>
  <si>
    <t>Shipping Mode</t>
  </si>
  <si>
    <t>Lines</t>
  </si>
  <si>
    <t>Avg Real Days</t>
  </si>
  <si>
    <t>Avg Promise Days</t>
  </si>
  <si>
    <t>Avg Delay Days</t>
  </si>
  <si>
    <t>Late Order Share</t>
  </si>
  <si>
    <t>Standard Class</t>
  </si>
  <si>
    <t>Second Class</t>
  </si>
  <si>
    <t>First Class</t>
  </si>
  <si>
    <t>Same Day</t>
  </si>
  <si>
    <t>Digital Demand</t>
  </si>
  <si>
    <t>Access log analysis joined to sales as a rough e-commerce demand proxy.</t>
  </si>
  <si>
    <t>Top Product Pages Joined to Sales</t>
  </si>
  <si>
    <t>Access Logs by Month</t>
  </si>
  <si>
    <t>Product Page</t>
  </si>
  <si>
    <t>Dept.</t>
  </si>
  <si>
    <t>Pageviews</t>
  </si>
  <si>
    <t>Unique IPs</t>
  </si>
  <si>
    <t>Sales Category</t>
  </si>
  <si>
    <t>Sales / 1K Views</t>
  </si>
  <si>
    <t>Perfect Fitness Perfect Rip Deck</t>
  </si>
  <si>
    <t>apparel</t>
  </si>
  <si>
    <t>Nike Men's Dri-FIT Victory Golf Polo</t>
  </si>
  <si>
    <t>golf</t>
  </si>
  <si>
    <t>Nike Men's CJ Elite 2 TD Football Cleat</t>
  </si>
  <si>
    <t>O'Brien Men's Neoprene Life Vest</t>
  </si>
  <si>
    <t>fan shop</t>
  </si>
  <si>
    <t>Pelican Sunstream 100 Kayak</t>
  </si>
  <si>
    <t>Diamondback Women's Serene Classic Comfort Bi</t>
  </si>
  <si>
    <t>Field &amp; Stream Sportsman 16 Gun Fire Safe</t>
  </si>
  <si>
    <t>Under Armour Hustle Storm Medium Duffle Bag</t>
  </si>
  <si>
    <t>footwear</t>
  </si>
  <si>
    <t>Fitness Accessories</t>
  </si>
  <si>
    <t>Columbia Men's PFG Anchor Tough T-Shirt</t>
  </si>
  <si>
    <t>Nike Men's Free 5.0+ Running Shoe</t>
  </si>
  <si>
    <t>Nike Men's Free TR 5.0 TB Training Shoe</t>
  </si>
  <si>
    <t>As Seen on  TV!</t>
  </si>
  <si>
    <t>Nike Men's Comfort 2 Slide</t>
  </si>
  <si>
    <t>fitness</t>
  </si>
  <si>
    <t>Tennis &amp; Racquet</t>
  </si>
  <si>
    <t>Under Armour Men's Tech II T-Shirt</t>
  </si>
  <si>
    <t>Lacrosse</t>
  </si>
  <si>
    <t>Under Armour Girls' Toddler Spine Surge Runni</t>
  </si>
  <si>
    <t>Nike Men's Fingertrap Max Training Shoe</t>
  </si>
  <si>
    <t>Soccer</t>
  </si>
  <si>
    <t>adidas Youth Germany Black/Red Away Match Soc</t>
  </si>
  <si>
    <t>The North Face Women's Recon Backpack</t>
  </si>
  <si>
    <t>Hunting &amp; Shooting</t>
  </si>
  <si>
    <t>adidas Men's Germany Black Crest Away Tee</t>
  </si>
  <si>
    <t>TYR Boys' Team Digi Jammer</t>
  </si>
  <si>
    <t>Stiga Master Series ST3100 Competition Indoor</t>
  </si>
  <si>
    <t>Hockey</t>
  </si>
  <si>
    <t>Data Coverage and Caveats</t>
  </si>
  <si>
    <t>Coverage checks and caveats to keep the analysis stakeholder-ready.</t>
  </si>
  <si>
    <t>Check</t>
  </si>
  <si>
    <t>Value</t>
  </si>
  <si>
    <t>Why it matters</t>
  </si>
  <si>
    <t>Order rows</t>
  </si>
  <si>
    <t>Line-level order records in DataCoSupplyChainDataset.csv</t>
  </si>
  <si>
    <t>Order IDs can appear on multiple product lines</t>
  </si>
  <si>
    <t>Distinct customers</t>
  </si>
  <si>
    <t>Customer IDs after masking names/email/password</t>
  </si>
  <si>
    <t>Order date range</t>
  </si>
  <si>
    <t>2015-01-01 to 2018-01-31</t>
  </si>
  <si>
    <t>2018 contains January only</t>
  </si>
  <si>
    <t>Access log rows</t>
  </si>
  <si>
    <t>Product pageview records in tokenized_access_logs.csv</t>
  </si>
  <si>
    <t>Access log date range</t>
  </si>
  <si>
    <t>2017-09-01 to 2018-01-31</t>
  </si>
  <si>
    <t>Access logs cover only Sep 2017-Jan 2018</t>
  </si>
  <si>
    <t>Product description missing</t>
  </si>
  <si>
    <t>100.0%</t>
  </si>
  <si>
    <t>Field is not useful for analysis</t>
  </si>
  <si>
    <t>Order zipcode missing</t>
  </si>
  <si>
    <t>86.2%</t>
  </si>
  <si>
    <t>Use Market / Order Region instead of zipcode</t>
  </si>
  <si>
    <t>Canceled/fraud sales share</t>
  </si>
  <si>
    <t>4.3%</t>
  </si>
  <si>
    <t>Potential caveat: status handling should be confirmed with stakeholders</t>
  </si>
  <si>
    <t>Supporting Pivot Summaries</t>
  </si>
  <si>
    <t>Year</t>
  </si>
  <si>
    <t>Segment</t>
  </si>
  <si>
    <t>Consumer</t>
  </si>
  <si>
    <t>Corporate</t>
  </si>
  <si>
    <t>Home Office</t>
  </si>
  <si>
    <t>Raw Pivot Tables</t>
  </si>
  <si>
    <t>Additional SQL/Excel-style summaries for audit and reuse.</t>
  </si>
  <si>
    <t>Market Summary</t>
  </si>
  <si>
    <t>Top Regions</t>
  </si>
  <si>
    <t>Market</t>
  </si>
  <si>
    <t>Region</t>
  </si>
  <si>
    <t>Europe</t>
  </si>
  <si>
    <t>Western Europe</t>
  </si>
  <si>
    <t>LATAM</t>
  </si>
  <si>
    <t>Central America</t>
  </si>
  <si>
    <t>Pacific Asia</t>
  </si>
  <si>
    <t>South America</t>
  </si>
  <si>
    <t>USCA</t>
  </si>
  <si>
    <t>Northern Europe</t>
  </si>
  <si>
    <t>Africa</t>
  </si>
  <si>
    <t>Southern Europe</t>
  </si>
  <si>
    <t>Oceania</t>
  </si>
  <si>
    <t>Southeast Asia</t>
  </si>
  <si>
    <t>Caribbean</t>
  </si>
  <si>
    <t>Discount Band Summary</t>
  </si>
  <si>
    <t>West of USA</t>
  </si>
  <si>
    <t>Discount Bin</t>
  </si>
  <si>
    <t>South Asia</t>
  </si>
  <si>
    <t>0-5%</t>
  </si>
  <si>
    <t>Eastern Asia</t>
  </si>
  <si>
    <t>5-10%</t>
  </si>
  <si>
    <t>East of USA</t>
  </si>
  <si>
    <t>10-15%</t>
  </si>
  <si>
    <t>West Asia</t>
  </si>
  <si>
    <t>15-20%</t>
  </si>
  <si>
    <t>US Center</t>
  </si>
  <si>
    <t>20-25%</t>
  </si>
  <si>
    <t>South of 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</si>
</sst>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6">
    <font>
      <sz val="11"/>
      <name val="Carlito"/>
    </font>
    <font>
      <b/>
      <sz val="18"/>
      <color rgb="FFFFFFFF"/>
      <name val="Aptos Display"/>
    </font>
    <font>
      <sz val="10"/>
      <color rgb="FF1F2933"/>
      <name val="Aptos"/>
    </font>
    <font>
      <b/>
      <sz val="10"/>
      <color rgb="FF1F2933"/>
      <name val="Aptos"/>
    </font>
    <font>
      <b/>
      <sz val="10"/>
      <color rgb="FFFFFFFF"/>
      <name val="Aptos"/>
    </font>
    <font>
      <b/>
      <sz val="12"/>
      <color rgb="FF1F2933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147C7C"/>
      </patternFill>
    </fill>
    <fill>
      <patternFill patternType="solid">
        <fgColor rgb="FFE7F4F2"/>
      </patternFill>
    </fill>
    <fill>
      <patternFill patternType="solid">
        <fgColor rgb="FFFFF3D6"/>
      </patternFill>
    </fill>
    <fill>
      <patternFill patternType="solid">
        <fgColor rgb="FFC9801A"/>
      </patternFill>
    </fill>
  </fills>
  <borders count="8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/>
      <diagonal/>
    </border>
    <border>
      <left style="thin">
        <color rgb="FFD8DEE6"/>
      </left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/>
      <top style="thin">
        <color rgb="FFD8DEE6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2" fillId="4" borderId="2" xfId="0" applyFont="1" applyFill="1" applyBorder="1"/>
    <xf numFmtId="164" fontId="2" fillId="4" borderId="1" xfId="0" applyNumberFormat="1" applyFont="1" applyFill="1" applyBorder="1"/>
    <xf numFmtId="164" fontId="2" fillId="4" borderId="2" xfId="0" applyNumberFormat="1" applyFont="1" applyFill="1" applyBorder="1"/>
    <xf numFmtId="165" fontId="2" fillId="4" borderId="2" xfId="0" applyNumberFormat="1" applyFont="1" applyFill="1" applyBorder="1"/>
    <xf numFmtId="165" fontId="2" fillId="4" borderId="3" xfId="0" applyNumberFormat="1" applyFont="1" applyFill="1" applyBorder="1"/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right" vertical="center"/>
    </xf>
    <xf numFmtId="3" fontId="2" fillId="4" borderId="5" xfId="0" applyNumberFormat="1" applyFont="1" applyFill="1" applyBorder="1" applyAlignment="1">
      <alignment horizontal="right" vertical="center"/>
    </xf>
    <xf numFmtId="164" fontId="2" fillId="4" borderId="4" xfId="0" applyNumberFormat="1" applyFont="1" applyFill="1" applyBorder="1" applyAlignment="1">
      <alignment horizontal="right" vertical="center"/>
    </xf>
    <xf numFmtId="164" fontId="2" fillId="4" borderId="5" xfId="0" applyNumberFormat="1" applyFont="1" applyFill="1" applyBorder="1" applyAlignment="1">
      <alignment horizontal="right" vertical="center"/>
    </xf>
    <xf numFmtId="165" fontId="2" fillId="4" borderId="4" xfId="0" applyNumberFormat="1" applyFont="1" applyFill="1" applyBorder="1" applyAlignment="1">
      <alignment horizontal="right" vertical="center"/>
    </xf>
    <xf numFmtId="165" fontId="2" fillId="4" borderId="5" xfId="0" applyNumberFormat="1" applyFont="1" applyFill="1" applyBorder="1" applyAlignment="1">
      <alignment horizontal="right" vertical="center"/>
    </xf>
    <xf numFmtId="166" fontId="2" fillId="4" borderId="4" xfId="0" applyNumberFormat="1" applyFont="1" applyFill="1" applyBorder="1" applyAlignment="1">
      <alignment horizontal="right" vertical="center"/>
    </xf>
    <xf numFmtId="166" fontId="2" fillId="4" borderId="5" xfId="0" applyNumberFormat="1" applyFont="1" applyFill="1" applyBorder="1" applyAlignment="1">
      <alignment horizontal="right" vertical="center"/>
    </xf>
    <xf numFmtId="0" fontId="5" fillId="6" borderId="0" xfId="0" applyFont="1" applyFill="1"/>
    <xf numFmtId="0" fontId="5" fillId="7" borderId="0" xfId="0" applyFont="1" applyFill="1"/>
    <xf numFmtId="0" fontId="4" fillId="8" borderId="7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B42318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Gross Sales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cat>
            <c:strLit>
              <c:ptCount val="37"/>
              <c:pt idx="0">
                <c:v>2015-01</c:v>
              </c:pt>
              <c:pt idx="1">
                <c:v>2015-02</c:v>
              </c:pt>
              <c:pt idx="2">
                <c:v>2015-03</c:v>
              </c:pt>
              <c:pt idx="3">
                <c:v>2015-04</c:v>
              </c:pt>
              <c:pt idx="4">
                <c:v>2015-05</c:v>
              </c:pt>
              <c:pt idx="5">
                <c:v>2015-06</c:v>
              </c:pt>
              <c:pt idx="6">
                <c:v>2015-07</c:v>
              </c:pt>
              <c:pt idx="7">
                <c:v>2015-08</c:v>
              </c:pt>
              <c:pt idx="8">
                <c:v>2015-09</c:v>
              </c:pt>
              <c:pt idx="9">
                <c:v>2015-10</c:v>
              </c:pt>
              <c:pt idx="10">
                <c:v>2015-11</c:v>
              </c:pt>
              <c:pt idx="11">
                <c:v>2015-12</c:v>
              </c:pt>
              <c:pt idx="12">
                <c:v>2016-01</c:v>
              </c:pt>
              <c:pt idx="13">
                <c:v>2016-02</c:v>
              </c:pt>
              <c:pt idx="14">
                <c:v>2016-03</c:v>
              </c:pt>
              <c:pt idx="15">
                <c:v>2016-04</c:v>
              </c:pt>
              <c:pt idx="16">
                <c:v>2016-05</c:v>
              </c:pt>
              <c:pt idx="17">
                <c:v>2016-06</c:v>
              </c:pt>
              <c:pt idx="18">
                <c:v>2016-07</c:v>
              </c:pt>
              <c:pt idx="19">
                <c:v>2016-08</c:v>
              </c:pt>
              <c:pt idx="20">
                <c:v>2016-09</c:v>
              </c:pt>
              <c:pt idx="21">
                <c:v>2016-10</c:v>
              </c:pt>
              <c:pt idx="22">
                <c:v>2016-11</c:v>
              </c:pt>
              <c:pt idx="23">
                <c:v>2016-12</c:v>
              </c:pt>
              <c:pt idx="24">
                <c:v>2017-01</c:v>
              </c:pt>
              <c:pt idx="25">
                <c:v>2017-02</c:v>
              </c:pt>
              <c:pt idx="26">
                <c:v>2017-03</c:v>
              </c:pt>
              <c:pt idx="27">
                <c:v>2017-04</c:v>
              </c:pt>
              <c:pt idx="28">
                <c:v>2017-05</c:v>
              </c:pt>
              <c:pt idx="29">
                <c:v>2017-06</c:v>
              </c:pt>
              <c:pt idx="30">
                <c:v>2017-07</c:v>
              </c:pt>
              <c:pt idx="31">
                <c:v>2017-08</c:v>
              </c:pt>
              <c:pt idx="32">
                <c:v>2017-09</c:v>
              </c:pt>
              <c:pt idx="33">
                <c:v>2017-10</c:v>
              </c:pt>
              <c:pt idx="34">
                <c:v>2017-11</c:v>
              </c:pt>
              <c:pt idx="35">
                <c:v>2017-12</c:v>
              </c:pt>
              <c:pt idx="36">
                <c:v>2018-01</c:v>
              </c:pt>
            </c:strLit>
          </c:cat>
          <c:val>
            <c:numLit>
              <c:formatCode>General</c:formatCode>
              <c:ptCount val="37"/>
              <c:pt idx="0">
                <c:v>1051590.0801973629</c:v>
              </c:pt>
              <c:pt idx="1">
                <c:v>927009.89816804102</c:v>
              </c:pt>
              <c:pt idx="2">
                <c:v>1051253.690334273</c:v>
              </c:pt>
              <c:pt idx="3">
                <c:v>1014463.279822583</c:v>
              </c:pt>
              <c:pt idx="4">
                <c:v>1050478.44015248</c:v>
              </c:pt>
              <c:pt idx="5">
                <c:v>1024006.169832033</c:v>
              </c:pt>
              <c:pt idx="6">
                <c:v>1038081.190095872</c:v>
              </c:pt>
              <c:pt idx="7">
                <c:v>1029494.690638762</c:v>
              </c:pt>
              <c:pt idx="8">
                <c:v>1018338.599974533</c:v>
              </c:pt>
              <c:pt idx="9">
                <c:v>1049154.2704332899</c:v>
              </c:pt>
              <c:pt idx="10">
                <c:v>1029120.240618734</c:v>
              </c:pt>
              <c:pt idx="11">
                <c:v>1057840.8806148011</c:v>
              </c:pt>
              <c:pt idx="12">
                <c:v>1046308.250500212</c:v>
              </c:pt>
              <c:pt idx="13">
                <c:v>968542.849025412</c:v>
              </c:pt>
              <c:pt idx="14">
                <c:v>1025853.120817973</c:v>
              </c:pt>
              <c:pt idx="15">
                <c:v>1001211.579778363</c:v>
              </c:pt>
              <c:pt idx="16">
                <c:v>1029400.200723323</c:v>
              </c:pt>
              <c:pt idx="17">
                <c:v>1003059.550005001</c:v>
              </c:pt>
              <c:pt idx="18">
                <c:v>1045715.620862</c:v>
              </c:pt>
              <c:pt idx="19">
                <c:v>1048200.251113612</c:v>
              </c:pt>
              <c:pt idx="20">
                <c:v>1002397.039938014</c:v>
              </c:pt>
              <c:pt idx="21">
                <c:v>1048130.550406502</c:v>
              </c:pt>
              <c:pt idx="22">
                <c:v>1047590.141074611</c:v>
              </c:pt>
              <c:pt idx="23">
                <c:v>1037408.170125002</c:v>
              </c:pt>
              <c:pt idx="24">
                <c:v>1029698.020147722</c:v>
              </c:pt>
              <c:pt idx="25">
                <c:v>992534.89879035205</c:v>
              </c:pt>
              <c:pt idx="26">
                <c:v>1048004.781065341</c:v>
              </c:pt>
              <c:pt idx="27">
                <c:v>1038321.620870051</c:v>
              </c:pt>
              <c:pt idx="28">
                <c:v>1105485.3218960899</c:v>
              </c:pt>
              <c:pt idx="29">
                <c:v>1032086.4903108199</c:v>
              </c:pt>
              <c:pt idx="30">
                <c:v>1104373.3609792499</c:v>
              </c:pt>
              <c:pt idx="31">
                <c:v>1109337.17125681</c:v>
              </c:pt>
              <c:pt idx="32">
                <c:v>1143775.1076231899</c:v>
              </c:pt>
              <c:pt idx="33">
                <c:v>1073994.1690205599</c:v>
              </c:pt>
              <c:pt idx="34">
                <c:v>626914.38366701</c:v>
              </c:pt>
              <c:pt idx="35">
                <c:v>503910.81734302</c:v>
              </c:pt>
              <c:pt idx="36">
                <c:v>331650.11515684001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E7-0F48-866D-0FA93E1BE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Late Delivery Rate by Shipping 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 rate</c:v>
          </c:tx>
          <c:spPr>
            <a:solidFill>
              <a:srgbClr val="C9801A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Standard Class</c:v>
              </c:pt>
              <c:pt idx="1">
                <c:v>Second Class</c:v>
              </c:pt>
              <c:pt idx="2">
                <c:v>First Class</c:v>
              </c:pt>
              <c:pt idx="3">
                <c:v>Same Day</c:v>
              </c:pt>
            </c:strLit>
          </c:cat>
          <c:val>
            <c:numLit>
              <c:formatCode>General</c:formatCode>
              <c:ptCount val="4"/>
              <c:pt idx="0">
                <c:v>0.38071683119999999</c:v>
              </c:pt>
              <c:pt idx="1">
                <c:v>0.76632780550000001</c:v>
              </c:pt>
              <c:pt idx="2">
                <c:v>0.95322499459999999</c:v>
              </c:pt>
              <c:pt idx="3">
                <c:v>0.45743042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339-6D42-9AC3-924C665CEA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Sales and Profit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cat>
            <c:strLit>
              <c:ptCount val="37"/>
              <c:pt idx="0">
                <c:v>2015-01</c:v>
              </c:pt>
              <c:pt idx="1">
                <c:v>2015-02</c:v>
              </c:pt>
              <c:pt idx="2">
                <c:v>2015-03</c:v>
              </c:pt>
              <c:pt idx="3">
                <c:v>2015-04</c:v>
              </c:pt>
              <c:pt idx="4">
                <c:v>2015-05</c:v>
              </c:pt>
              <c:pt idx="5">
                <c:v>2015-06</c:v>
              </c:pt>
              <c:pt idx="6">
                <c:v>2015-07</c:v>
              </c:pt>
              <c:pt idx="7">
                <c:v>2015-08</c:v>
              </c:pt>
              <c:pt idx="8">
                <c:v>2015-09</c:v>
              </c:pt>
              <c:pt idx="9">
                <c:v>2015-10</c:v>
              </c:pt>
              <c:pt idx="10">
                <c:v>2015-11</c:v>
              </c:pt>
              <c:pt idx="11">
                <c:v>2015-12</c:v>
              </c:pt>
              <c:pt idx="12">
                <c:v>2016-01</c:v>
              </c:pt>
              <c:pt idx="13">
                <c:v>2016-02</c:v>
              </c:pt>
              <c:pt idx="14">
                <c:v>2016-03</c:v>
              </c:pt>
              <c:pt idx="15">
                <c:v>2016-04</c:v>
              </c:pt>
              <c:pt idx="16">
                <c:v>2016-05</c:v>
              </c:pt>
              <c:pt idx="17">
                <c:v>2016-06</c:v>
              </c:pt>
              <c:pt idx="18">
                <c:v>2016-07</c:v>
              </c:pt>
              <c:pt idx="19">
                <c:v>2016-08</c:v>
              </c:pt>
              <c:pt idx="20">
                <c:v>2016-09</c:v>
              </c:pt>
              <c:pt idx="21">
                <c:v>2016-10</c:v>
              </c:pt>
              <c:pt idx="22">
                <c:v>2016-11</c:v>
              </c:pt>
              <c:pt idx="23">
                <c:v>2016-12</c:v>
              </c:pt>
              <c:pt idx="24">
                <c:v>2017-01</c:v>
              </c:pt>
              <c:pt idx="25">
                <c:v>2017-02</c:v>
              </c:pt>
              <c:pt idx="26">
                <c:v>2017-03</c:v>
              </c:pt>
              <c:pt idx="27">
                <c:v>2017-04</c:v>
              </c:pt>
              <c:pt idx="28">
                <c:v>2017-05</c:v>
              </c:pt>
              <c:pt idx="29">
                <c:v>2017-06</c:v>
              </c:pt>
              <c:pt idx="30">
                <c:v>2017-07</c:v>
              </c:pt>
              <c:pt idx="31">
                <c:v>2017-08</c:v>
              </c:pt>
              <c:pt idx="32">
                <c:v>2017-09</c:v>
              </c:pt>
              <c:pt idx="33">
                <c:v>2017-10</c:v>
              </c:pt>
              <c:pt idx="34">
                <c:v>2017-11</c:v>
              </c:pt>
              <c:pt idx="35">
                <c:v>2017-12</c:v>
              </c:pt>
              <c:pt idx="36">
                <c:v>2018-01</c:v>
              </c:pt>
            </c:strLit>
          </c:cat>
          <c:val>
            <c:numLit>
              <c:formatCode>General</c:formatCode>
              <c:ptCount val="37"/>
              <c:pt idx="0">
                <c:v>1051590.0801973629</c:v>
              </c:pt>
              <c:pt idx="1">
                <c:v>927009.89816804102</c:v>
              </c:pt>
              <c:pt idx="2">
                <c:v>1051253.690334273</c:v>
              </c:pt>
              <c:pt idx="3">
                <c:v>1014463.279822583</c:v>
              </c:pt>
              <c:pt idx="4">
                <c:v>1050478.44015248</c:v>
              </c:pt>
              <c:pt idx="5">
                <c:v>1024006.169832033</c:v>
              </c:pt>
              <c:pt idx="6">
                <c:v>1038081.190095872</c:v>
              </c:pt>
              <c:pt idx="7">
                <c:v>1029494.690638762</c:v>
              </c:pt>
              <c:pt idx="8">
                <c:v>1018338.599974533</c:v>
              </c:pt>
              <c:pt idx="9">
                <c:v>1049154.2704332899</c:v>
              </c:pt>
              <c:pt idx="10">
                <c:v>1029120.240618734</c:v>
              </c:pt>
              <c:pt idx="11">
                <c:v>1057840.8806148011</c:v>
              </c:pt>
              <c:pt idx="12">
                <c:v>1046308.250500212</c:v>
              </c:pt>
              <c:pt idx="13">
                <c:v>968542.849025412</c:v>
              </c:pt>
              <c:pt idx="14">
                <c:v>1025853.120817973</c:v>
              </c:pt>
              <c:pt idx="15">
                <c:v>1001211.579778363</c:v>
              </c:pt>
              <c:pt idx="16">
                <c:v>1029400.200723323</c:v>
              </c:pt>
              <c:pt idx="17">
                <c:v>1003059.550005001</c:v>
              </c:pt>
              <c:pt idx="18">
                <c:v>1045715.620862</c:v>
              </c:pt>
              <c:pt idx="19">
                <c:v>1048200.251113612</c:v>
              </c:pt>
              <c:pt idx="20">
                <c:v>1002397.039938014</c:v>
              </c:pt>
              <c:pt idx="21">
                <c:v>1048130.550406502</c:v>
              </c:pt>
              <c:pt idx="22">
                <c:v>1047590.141074611</c:v>
              </c:pt>
              <c:pt idx="23">
                <c:v>1037408.170125002</c:v>
              </c:pt>
              <c:pt idx="24">
                <c:v>1029698.020147722</c:v>
              </c:pt>
              <c:pt idx="25">
                <c:v>992534.89879035205</c:v>
              </c:pt>
              <c:pt idx="26">
                <c:v>1048004.781065341</c:v>
              </c:pt>
              <c:pt idx="27">
                <c:v>1038321.620870051</c:v>
              </c:pt>
              <c:pt idx="28">
                <c:v>1105485.3218960899</c:v>
              </c:pt>
              <c:pt idx="29">
                <c:v>1032086.4903108199</c:v>
              </c:pt>
              <c:pt idx="30">
                <c:v>1104373.3609792499</c:v>
              </c:pt>
              <c:pt idx="31">
                <c:v>1109337.17125681</c:v>
              </c:pt>
              <c:pt idx="32">
                <c:v>1143775.1076231899</c:v>
              </c:pt>
              <c:pt idx="33">
                <c:v>1073994.1690205599</c:v>
              </c:pt>
              <c:pt idx="34">
                <c:v>626914.38366701</c:v>
              </c:pt>
              <c:pt idx="35">
                <c:v>503910.81734302</c:v>
              </c:pt>
              <c:pt idx="36">
                <c:v>331650.11515684001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075-504D-BA37-75C95EEA3E2A}"/>
            </c:ext>
          </c:extLst>
        </c:ser>
        <c:ser>
          <c:idx val="1"/>
          <c:order val="1"/>
          <c:tx>
            <c:v>Profit</c:v>
          </c:tx>
          <c:cat>
            <c:strLit>
              <c:ptCount val="37"/>
              <c:pt idx="0">
                <c:v>2015-01</c:v>
              </c:pt>
              <c:pt idx="1">
                <c:v>2015-02</c:v>
              </c:pt>
              <c:pt idx="2">
                <c:v>2015-03</c:v>
              </c:pt>
              <c:pt idx="3">
                <c:v>2015-04</c:v>
              </c:pt>
              <c:pt idx="4">
                <c:v>2015-05</c:v>
              </c:pt>
              <c:pt idx="5">
                <c:v>2015-06</c:v>
              </c:pt>
              <c:pt idx="6">
                <c:v>2015-07</c:v>
              </c:pt>
              <c:pt idx="7">
                <c:v>2015-08</c:v>
              </c:pt>
              <c:pt idx="8">
                <c:v>2015-09</c:v>
              </c:pt>
              <c:pt idx="9">
                <c:v>2015-10</c:v>
              </c:pt>
              <c:pt idx="10">
                <c:v>2015-11</c:v>
              </c:pt>
              <c:pt idx="11">
                <c:v>2015-12</c:v>
              </c:pt>
              <c:pt idx="12">
                <c:v>2016-01</c:v>
              </c:pt>
              <c:pt idx="13">
                <c:v>2016-02</c:v>
              </c:pt>
              <c:pt idx="14">
                <c:v>2016-03</c:v>
              </c:pt>
              <c:pt idx="15">
                <c:v>2016-04</c:v>
              </c:pt>
              <c:pt idx="16">
                <c:v>2016-05</c:v>
              </c:pt>
              <c:pt idx="17">
                <c:v>2016-06</c:v>
              </c:pt>
              <c:pt idx="18">
                <c:v>2016-07</c:v>
              </c:pt>
              <c:pt idx="19">
                <c:v>2016-08</c:v>
              </c:pt>
              <c:pt idx="20">
                <c:v>2016-09</c:v>
              </c:pt>
              <c:pt idx="21">
                <c:v>2016-10</c:v>
              </c:pt>
              <c:pt idx="22">
                <c:v>2016-11</c:v>
              </c:pt>
              <c:pt idx="23">
                <c:v>2016-12</c:v>
              </c:pt>
              <c:pt idx="24">
                <c:v>2017-01</c:v>
              </c:pt>
              <c:pt idx="25">
                <c:v>2017-02</c:v>
              </c:pt>
              <c:pt idx="26">
                <c:v>2017-03</c:v>
              </c:pt>
              <c:pt idx="27">
                <c:v>2017-04</c:v>
              </c:pt>
              <c:pt idx="28">
                <c:v>2017-05</c:v>
              </c:pt>
              <c:pt idx="29">
                <c:v>2017-06</c:v>
              </c:pt>
              <c:pt idx="30">
                <c:v>2017-07</c:v>
              </c:pt>
              <c:pt idx="31">
                <c:v>2017-08</c:v>
              </c:pt>
              <c:pt idx="32">
                <c:v>2017-09</c:v>
              </c:pt>
              <c:pt idx="33">
                <c:v>2017-10</c:v>
              </c:pt>
              <c:pt idx="34">
                <c:v>2017-11</c:v>
              </c:pt>
              <c:pt idx="35">
                <c:v>2017-12</c:v>
              </c:pt>
              <c:pt idx="36">
                <c:v>2018-01</c:v>
              </c:pt>
            </c:strLit>
          </c:cat>
          <c:val>
            <c:numLit>
              <c:formatCode>General</c:formatCode>
              <c:ptCount val="37"/>
              <c:pt idx="0">
                <c:v>111660.740131745</c:v>
              </c:pt>
              <c:pt idx="1">
                <c:v>99140.660195881006</c:v>
              </c:pt>
              <c:pt idx="2">
                <c:v>113778.210191127</c:v>
              </c:pt>
              <c:pt idx="3">
                <c:v>108083.679956629</c:v>
              </c:pt>
              <c:pt idx="4">
                <c:v>112147.900143277</c:v>
              </c:pt>
              <c:pt idx="5">
                <c:v>110147.160313142</c:v>
              </c:pt>
              <c:pt idx="6">
                <c:v>115624.05987866801</c:v>
              </c:pt>
              <c:pt idx="7">
                <c:v>117979.770301531</c:v>
              </c:pt>
              <c:pt idx="8">
                <c:v>113467.940118142</c:v>
              </c:pt>
              <c:pt idx="9">
                <c:v>101757.87003983901</c:v>
              </c:pt>
              <c:pt idx="10">
                <c:v>104427.360119529</c:v>
              </c:pt>
              <c:pt idx="11">
                <c:v>110641.549880989</c:v>
              </c:pt>
              <c:pt idx="12">
                <c:v>106780.95022869699</c:v>
              </c:pt>
              <c:pt idx="13">
                <c:v>86809.490641662996</c:v>
              </c:pt>
              <c:pt idx="14">
                <c:v>101259.99024981</c:v>
              </c:pt>
              <c:pt idx="15">
                <c:v>114976.61990693799</c:v>
              </c:pt>
              <c:pt idx="16">
                <c:v>110716.120111335</c:v>
              </c:pt>
              <c:pt idx="17">
                <c:v>104196.07010811901</c:v>
              </c:pt>
              <c:pt idx="18">
                <c:v>119941.72018309199</c:v>
              </c:pt>
              <c:pt idx="19">
                <c:v>110729.540117032</c:v>
              </c:pt>
              <c:pt idx="20">
                <c:v>123384.709977059</c:v>
              </c:pt>
              <c:pt idx="21">
                <c:v>116781.97004818699</c:v>
              </c:pt>
              <c:pt idx="22">
                <c:v>109539.19996230899</c:v>
              </c:pt>
              <c:pt idx="23">
                <c:v>105002.68993700801</c:v>
              </c:pt>
              <c:pt idx="24">
                <c:v>114843.850276999</c:v>
              </c:pt>
              <c:pt idx="25">
                <c:v>115111.070097214</c:v>
              </c:pt>
              <c:pt idx="26">
                <c:v>118688.90021145</c:v>
              </c:pt>
              <c:pt idx="27">
                <c:v>115961.06019266701</c:v>
              </c:pt>
              <c:pt idx="28">
                <c:v>115014.64001427</c:v>
              </c:pt>
              <c:pt idx="29">
                <c:v>110399.290304686</c:v>
              </c:pt>
              <c:pt idx="30">
                <c:v>113026.70003808101</c:v>
              </c:pt>
              <c:pt idx="31">
                <c:v>131501.16021114899</c:v>
              </c:pt>
              <c:pt idx="32">
                <c:v>122462.39015285199</c:v>
              </c:pt>
              <c:pt idx="33">
                <c:v>113447.16988253201</c:v>
              </c:pt>
              <c:pt idx="34">
                <c:v>67791.250204682001</c:v>
              </c:pt>
              <c:pt idx="35">
                <c:v>65837.629744941005</c:v>
              </c:pt>
              <c:pt idx="36">
                <c:v>33841.889977086001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075-504D-BA37-75C95EEA3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Categories by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147C7C"/>
            </a:solidFill>
          </c:spPr>
          <c:invertIfNegative val="1"/>
          <c:cat>
            <c:strLit>
              <c:ptCount val="10"/>
              <c:pt idx="0">
                <c:v>Fishing</c:v>
              </c:pt>
              <c:pt idx="1">
                <c:v>Cleats</c:v>
              </c:pt>
              <c:pt idx="2">
                <c:v>Camping &amp; Hiking</c:v>
              </c:pt>
              <c:pt idx="3">
                <c:v>Cardio Equipment</c:v>
              </c:pt>
              <c:pt idx="4">
                <c:v>Women's Apparel</c:v>
              </c:pt>
              <c:pt idx="5">
                <c:v>Water Sports</c:v>
              </c:pt>
              <c:pt idx="6">
                <c:v>Men's Footwear</c:v>
              </c:pt>
              <c:pt idx="7">
                <c:v>Indoor/Outdoor Games</c:v>
              </c:pt>
              <c:pt idx="8">
                <c:v>Shop By Sport</c:v>
              </c:pt>
              <c:pt idx="9">
                <c:v>Computers</c:v>
              </c:pt>
            </c:strLit>
          </c:cat>
          <c:val>
            <c:numLit>
              <c:formatCode>General</c:formatCode>
              <c:ptCount val="10"/>
              <c:pt idx="0">
                <c:v>6929653.6905749999</c:v>
              </c:pt>
              <c:pt idx="1">
                <c:v>4431942.7831850601</c:v>
              </c:pt>
              <c:pt idx="2">
                <c:v>4118425.5710189999</c:v>
              </c:pt>
              <c:pt idx="3">
                <c:v>3694843.1966299601</c:v>
              </c:pt>
              <c:pt idx="4">
                <c:v>3147800</c:v>
              </c:pt>
              <c:pt idx="5">
                <c:v>3113844.6848579999</c:v>
              </c:pt>
              <c:pt idx="6">
                <c:v>2891757.6623529997</c:v>
              </c:pt>
              <c:pt idx="7">
                <c:v>2888993.9135055002</c:v>
              </c:pt>
              <c:pt idx="8">
                <c:v>1309522.04145468</c:v>
              </c:pt>
              <c:pt idx="9">
                <c:v>663000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DFB-5E49-95D3-04DB5E2C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Late Rate by Shipping 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 rate</c:v>
          </c:tx>
          <c:spPr>
            <a:solidFill>
              <a:srgbClr val="C9801A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Standard Class</c:v>
              </c:pt>
              <c:pt idx="1">
                <c:v>Second Class</c:v>
              </c:pt>
              <c:pt idx="2">
                <c:v>First Class</c:v>
              </c:pt>
              <c:pt idx="3">
                <c:v>Same Day</c:v>
              </c:pt>
            </c:strLit>
          </c:cat>
          <c:val>
            <c:numLit>
              <c:formatCode>General</c:formatCode>
              <c:ptCount val="4"/>
              <c:pt idx="0">
                <c:v>0.38071683119999999</c:v>
              </c:pt>
              <c:pt idx="1">
                <c:v>0.76632780550000001</c:v>
              </c:pt>
              <c:pt idx="2">
                <c:v>0.95322499459999999</c:v>
              </c:pt>
              <c:pt idx="3">
                <c:v>0.45743042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4C2-B141-851A-CA737D1061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Product Pageviews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Pageviews</c:v>
          </c:tx>
          <c:cat>
            <c:strLit>
              <c:ptCount val="5"/>
              <c:pt idx="0">
                <c:v>2017-09</c:v>
              </c:pt>
              <c:pt idx="1">
                <c:v>2017-10</c:v>
              </c:pt>
              <c:pt idx="2">
                <c:v>2017-11</c:v>
              </c:pt>
              <c:pt idx="3">
                <c:v>2017-12</c:v>
              </c:pt>
              <c:pt idx="4">
                <c:v>2018-01</c:v>
              </c:pt>
            </c:strLit>
          </c:cat>
          <c:val>
            <c:numLit>
              <c:formatCode>General</c:formatCode>
              <c:ptCount val="5"/>
              <c:pt idx="0">
                <c:v>137238</c:v>
              </c:pt>
              <c:pt idx="1">
                <c:v>84205</c:v>
              </c:pt>
              <c:pt idx="2">
                <c:v>80860</c:v>
              </c:pt>
              <c:pt idx="3">
                <c:v>84093</c:v>
              </c:pt>
              <c:pt idx="4">
                <c:v>83581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E3-094F-9D4A-8F8BE796E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2925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953000" cy="2476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715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905500" cy="3238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334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10</xdr:row>
      <xdr:rowOff>0</xdr:rowOff>
    </xdr:from>
    <xdr:ext cx="43815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/>
  </sheetViews>
  <sheetFormatPr baseColWidth="10" defaultColWidth="8.83203125" defaultRowHeight="14"/>
  <cols>
    <col min="1" max="1" width="17.83203125" customWidth="1"/>
    <col min="2" max="2" width="19.6640625" customWidth="1"/>
    <col min="3" max="3" width="17.83203125" customWidth="1"/>
    <col min="4" max="4" width="18.33203125" customWidth="1"/>
    <col min="5" max="8" width="16" customWidth="1"/>
  </cols>
  <sheetData>
    <row r="1" spans="1:8" ht="24">
      <c r="A1" s="1" t="s">
        <v>0</v>
      </c>
      <c r="B1" s="1"/>
      <c r="C1" s="1"/>
      <c r="D1" s="1"/>
      <c r="E1" s="1"/>
      <c r="F1" s="1"/>
      <c r="G1" s="1"/>
      <c r="H1" s="1"/>
    </row>
    <row r="2" spans="1:8" ht="120">
      <c r="A2" s="2" t="s">
        <v>1</v>
      </c>
      <c r="B2" s="2"/>
      <c r="C2" s="2"/>
      <c r="D2" s="2"/>
      <c r="E2" s="2"/>
      <c r="F2" s="2"/>
      <c r="G2" s="2"/>
      <c r="H2" s="2"/>
    </row>
    <row r="4" spans="1:8" ht="15">
      <c r="A4" s="3" t="s">
        <v>2</v>
      </c>
      <c r="B4" s="7">
        <v>36784735.009999998</v>
      </c>
    </row>
    <row r="5" spans="1:8" ht="15">
      <c r="A5" s="4" t="s">
        <v>3</v>
      </c>
      <c r="B5" s="8">
        <v>3966902.97</v>
      </c>
    </row>
    <row r="6" spans="1:8" ht="15">
      <c r="A6" s="4" t="s">
        <v>4</v>
      </c>
      <c r="B6" s="9">
        <v>0.10780000000000001</v>
      </c>
    </row>
    <row r="7" spans="1:8" ht="15">
      <c r="A7" s="4" t="s">
        <v>5</v>
      </c>
      <c r="B7" s="9">
        <v>0.54830000000000001</v>
      </c>
    </row>
    <row r="8" spans="1:8" ht="15">
      <c r="A8" s="4" t="s">
        <v>6</v>
      </c>
      <c r="B8" s="6">
        <v>65752</v>
      </c>
    </row>
    <row r="9" spans="1:8" ht="15">
      <c r="A9" s="4" t="s">
        <v>7</v>
      </c>
      <c r="B9" s="6" t="s">
        <v>8</v>
      </c>
    </row>
    <row r="10" spans="1:8" ht="15">
      <c r="A10" s="4" t="s">
        <v>9</v>
      </c>
      <c r="B10" s="6" t="s">
        <v>10</v>
      </c>
    </row>
    <row r="11" spans="1:8" ht="15">
      <c r="A11" s="5" t="s">
        <v>11</v>
      </c>
      <c r="B11" s="10">
        <v>0.84860000000000002</v>
      </c>
    </row>
    <row r="14" spans="1:8" ht="15">
      <c r="A14" s="13" t="s">
        <v>12</v>
      </c>
      <c r="B14" s="14" t="s">
        <v>13</v>
      </c>
      <c r="C14" s="14" t="s">
        <v>14</v>
      </c>
      <c r="D14" s="15" t="s">
        <v>15</v>
      </c>
    </row>
    <row r="15" spans="1:8" ht="75">
      <c r="A15" s="11" t="s">
        <v>16</v>
      </c>
      <c r="B15" s="11" t="s">
        <v>17</v>
      </c>
      <c r="C15" s="16" t="s">
        <v>18</v>
      </c>
      <c r="D15" s="16" t="s">
        <v>19</v>
      </c>
    </row>
    <row r="16" spans="1:8" ht="75">
      <c r="A16" s="12" t="s">
        <v>20</v>
      </c>
      <c r="B16" s="12" t="s">
        <v>21</v>
      </c>
      <c r="C16" s="17" t="s">
        <v>22</v>
      </c>
      <c r="D16" s="17" t="s">
        <v>23</v>
      </c>
    </row>
    <row r="17" spans="1:4" ht="75">
      <c r="A17" s="12" t="s">
        <v>24</v>
      </c>
      <c r="B17" s="12" t="s">
        <v>17</v>
      </c>
      <c r="C17" s="17" t="s">
        <v>25</v>
      </c>
      <c r="D17" s="17" t="s">
        <v>26</v>
      </c>
    </row>
    <row r="18" spans="1:4" ht="75">
      <c r="A18" s="12" t="s">
        <v>27</v>
      </c>
      <c r="B18" s="12" t="s">
        <v>21</v>
      </c>
      <c r="C18" s="17" t="s">
        <v>28</v>
      </c>
      <c r="D18" s="17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B1" sqref="B1"/>
    </sheetView>
  </sheetViews>
  <sheetFormatPr baseColWidth="10" defaultColWidth="8.83203125" defaultRowHeight="14"/>
  <cols>
    <col min="1" max="1" width="16.5" customWidth="1"/>
    <col min="2" max="2" width="26.33203125" customWidth="1"/>
    <col min="3" max="4" width="36.1640625" customWidth="1"/>
    <col min="5" max="5" width="17.1640625" customWidth="1"/>
  </cols>
  <sheetData>
    <row r="1" spans="1:8" ht="24">
      <c r="A1" s="1" t="s">
        <v>30</v>
      </c>
      <c r="B1" s="1"/>
      <c r="C1" s="1"/>
      <c r="D1" s="1"/>
      <c r="E1" s="1"/>
      <c r="F1" s="1"/>
      <c r="G1" s="1"/>
      <c r="H1" s="1"/>
    </row>
    <row r="2" spans="1:8" ht="105">
      <c r="A2" s="2" t="s">
        <v>31</v>
      </c>
      <c r="B2" s="2"/>
      <c r="C2" s="2"/>
      <c r="D2" s="2"/>
      <c r="E2" s="2"/>
      <c r="F2" s="2"/>
      <c r="G2" s="2"/>
      <c r="H2" s="2"/>
    </row>
    <row r="4" spans="1:8" ht="15">
      <c r="A4" s="18" t="s">
        <v>32</v>
      </c>
      <c r="B4" s="19" t="s">
        <v>33</v>
      </c>
      <c r="C4" s="19" t="s">
        <v>34</v>
      </c>
      <c r="D4" s="19" t="s">
        <v>35</v>
      </c>
      <c r="E4" s="20" t="s">
        <v>36</v>
      </c>
    </row>
    <row r="5" spans="1:8" ht="30">
      <c r="A5" s="11" t="s">
        <v>37</v>
      </c>
      <c r="B5" s="16" t="s">
        <v>38</v>
      </c>
      <c r="C5" s="16" t="s">
        <v>39</v>
      </c>
      <c r="D5" s="16" t="s">
        <v>40</v>
      </c>
      <c r="E5" s="11" t="s">
        <v>41</v>
      </c>
    </row>
    <row r="6" spans="1:8" ht="45">
      <c r="A6" s="12" t="s">
        <v>42</v>
      </c>
      <c r="B6" s="17" t="s">
        <v>43</v>
      </c>
      <c r="C6" s="17" t="s">
        <v>44</v>
      </c>
      <c r="D6" s="17" t="s">
        <v>45</v>
      </c>
      <c r="E6" s="12" t="s">
        <v>27</v>
      </c>
    </row>
    <row r="7" spans="1:8" ht="30">
      <c r="A7" s="12" t="s">
        <v>46</v>
      </c>
      <c r="B7" s="17" t="s">
        <v>47</v>
      </c>
      <c r="C7" s="17" t="s">
        <v>48</v>
      </c>
      <c r="D7" s="17" t="s">
        <v>49</v>
      </c>
      <c r="E7" s="12" t="s">
        <v>50</v>
      </c>
    </row>
    <row r="8" spans="1:8" ht="30">
      <c r="A8" s="12" t="s">
        <v>51</v>
      </c>
      <c r="B8" s="17" t="s">
        <v>52</v>
      </c>
      <c r="C8" s="17" t="s">
        <v>53</v>
      </c>
      <c r="D8" s="17" t="s">
        <v>54</v>
      </c>
      <c r="E8" s="12" t="s">
        <v>55</v>
      </c>
    </row>
    <row r="9" spans="1:8" ht="45">
      <c r="A9" s="12" t="s">
        <v>56</v>
      </c>
      <c r="B9" s="17" t="s">
        <v>57</v>
      </c>
      <c r="C9" s="17" t="s">
        <v>58</v>
      </c>
      <c r="D9" s="17" t="s">
        <v>59</v>
      </c>
      <c r="E9" s="1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A24" workbookViewId="0"/>
  </sheetViews>
  <sheetFormatPr baseColWidth="10" defaultColWidth="8.83203125" defaultRowHeight="14"/>
  <cols>
    <col min="1" max="1" width="10.5" customWidth="1"/>
    <col min="2" max="2" width="11.6640625" customWidth="1"/>
    <col min="3" max="4" width="12.33203125" customWidth="1"/>
    <col min="5" max="5" width="11" customWidth="1"/>
    <col min="6" max="10" width="11.6640625" customWidth="1"/>
  </cols>
  <sheetData>
    <row r="1" spans="1:10" ht="24">
      <c r="A1" s="1" t="s">
        <v>61</v>
      </c>
      <c r="B1" s="1"/>
      <c r="C1" s="1"/>
      <c r="D1" s="1"/>
      <c r="E1" s="1"/>
      <c r="F1" s="1"/>
      <c r="G1" s="1"/>
      <c r="H1" s="1"/>
    </row>
    <row r="2" spans="1:10" ht="135">
      <c r="A2" s="2" t="s">
        <v>62</v>
      </c>
      <c r="B2" s="2"/>
      <c r="C2" s="2"/>
      <c r="D2" s="2"/>
      <c r="E2" s="2"/>
      <c r="F2" s="2"/>
      <c r="G2" s="2"/>
      <c r="H2" s="2"/>
    </row>
    <row r="4" spans="1:10" ht="15">
      <c r="A4" s="13" t="s">
        <v>63</v>
      </c>
      <c r="B4" s="14" t="s">
        <v>64</v>
      </c>
      <c r="C4" s="14" t="s">
        <v>65</v>
      </c>
      <c r="D4" s="14" t="s">
        <v>3</v>
      </c>
      <c r="E4" s="14" t="s">
        <v>66</v>
      </c>
      <c r="F4" s="14" t="s">
        <v>67</v>
      </c>
      <c r="G4" s="14" t="s">
        <v>68</v>
      </c>
      <c r="H4" s="14" t="s">
        <v>69</v>
      </c>
      <c r="I4" s="14" t="s">
        <v>70</v>
      </c>
      <c r="J4" s="15" t="s">
        <v>71</v>
      </c>
    </row>
    <row r="5" spans="1:10">
      <c r="A5" s="11" t="s">
        <v>72</v>
      </c>
      <c r="B5" s="21">
        <v>1787</v>
      </c>
      <c r="C5" s="23">
        <v>1051590.0801973629</v>
      </c>
      <c r="D5" s="23">
        <v>111660.740131745</v>
      </c>
      <c r="E5" s="25">
        <v>0.10618276290000001</v>
      </c>
      <c r="F5" s="23">
        <v>588.46674885139998</v>
      </c>
      <c r="G5" s="25">
        <v>0.54114994360000002</v>
      </c>
      <c r="H5" s="25">
        <v>0.1011480651</v>
      </c>
      <c r="I5" s="25"/>
      <c r="J5" s="25"/>
    </row>
    <row r="6" spans="1:10">
      <c r="A6" s="12" t="s">
        <v>73</v>
      </c>
      <c r="B6" s="22">
        <v>1585</v>
      </c>
      <c r="C6" s="24">
        <v>927009.89816804102</v>
      </c>
      <c r="D6" s="24">
        <v>99140.660195881006</v>
      </c>
      <c r="E6" s="26">
        <v>0.10694671159999999</v>
      </c>
      <c r="F6" s="24">
        <v>584.86428906499998</v>
      </c>
      <c r="G6" s="26">
        <v>0.54853034469999995</v>
      </c>
      <c r="H6" s="26">
        <v>0.1016219079</v>
      </c>
      <c r="I6" s="26">
        <v>-0.1184683884</v>
      </c>
      <c r="J6" s="26"/>
    </row>
    <row r="7" spans="1:10">
      <c r="A7" s="12" t="s">
        <v>74</v>
      </c>
      <c r="B7" s="22">
        <v>1781</v>
      </c>
      <c r="C7" s="24">
        <v>1051253.690334273</v>
      </c>
      <c r="D7" s="24">
        <v>113778.210191127</v>
      </c>
      <c r="E7" s="26">
        <v>0.1082309734</v>
      </c>
      <c r="F7" s="24">
        <v>590.26035392150004</v>
      </c>
      <c r="G7" s="26">
        <v>0.54755688179999995</v>
      </c>
      <c r="H7" s="26">
        <v>0.1018481915</v>
      </c>
      <c r="I7" s="26">
        <v>0.13402639220000001</v>
      </c>
      <c r="J7" s="26"/>
    </row>
    <row r="8" spans="1:10">
      <c r="A8" s="12" t="s">
        <v>75</v>
      </c>
      <c r="B8" s="22">
        <v>1710</v>
      </c>
      <c r="C8" s="24">
        <v>1014463.279822583</v>
      </c>
      <c r="D8" s="24">
        <v>108083.679956629</v>
      </c>
      <c r="E8" s="26">
        <v>0.10654272269999999</v>
      </c>
      <c r="F8" s="24">
        <v>593.25338001319994</v>
      </c>
      <c r="G8" s="26">
        <v>0.53843152559999996</v>
      </c>
      <c r="H8" s="26">
        <v>0.1018571991</v>
      </c>
      <c r="I8" s="26">
        <v>-3.4996700499999998E-2</v>
      </c>
      <c r="J8" s="26"/>
    </row>
    <row r="9" spans="1:10">
      <c r="A9" s="12" t="s">
        <v>76</v>
      </c>
      <c r="B9" s="22">
        <v>1776</v>
      </c>
      <c r="C9" s="24">
        <v>1050478.44015248</v>
      </c>
      <c r="D9" s="24">
        <v>112147.900143277</v>
      </c>
      <c r="E9" s="26">
        <v>0.1067588785</v>
      </c>
      <c r="F9" s="24">
        <v>591.48560819399995</v>
      </c>
      <c r="G9" s="26">
        <v>0.55086802310000005</v>
      </c>
      <c r="H9" s="26">
        <v>0.101207766</v>
      </c>
      <c r="I9" s="26">
        <v>3.5501689500000003E-2</v>
      </c>
      <c r="J9" s="26"/>
    </row>
    <row r="10" spans="1:10">
      <c r="A10" s="12" t="s">
        <v>77</v>
      </c>
      <c r="B10" s="22">
        <v>1725</v>
      </c>
      <c r="C10" s="24">
        <v>1024006.169832033</v>
      </c>
      <c r="D10" s="24">
        <v>110147.160313142</v>
      </c>
      <c r="E10" s="26">
        <v>0.10756493809999999</v>
      </c>
      <c r="F10" s="24">
        <v>593.62676511999996</v>
      </c>
      <c r="G10" s="26">
        <v>0.5410985586</v>
      </c>
      <c r="H10" s="26">
        <v>0.10146084969999999</v>
      </c>
      <c r="I10" s="26">
        <v>-2.5200203399999999E-2</v>
      </c>
      <c r="J10" s="26"/>
    </row>
    <row r="11" spans="1:10">
      <c r="A11" s="12" t="s">
        <v>78</v>
      </c>
      <c r="B11" s="22">
        <v>1763</v>
      </c>
      <c r="C11" s="24">
        <v>1038081.190095872</v>
      </c>
      <c r="D11" s="24">
        <v>115624.05987866801</v>
      </c>
      <c r="E11" s="26">
        <v>0.1113824824</v>
      </c>
      <c r="F11" s="24">
        <v>588.8151957435</v>
      </c>
      <c r="G11" s="26">
        <v>0.55463294959999998</v>
      </c>
      <c r="H11" s="26">
        <v>0.1015304779</v>
      </c>
      <c r="I11" s="26">
        <v>1.3745054200000001E-2</v>
      </c>
      <c r="J11" s="26"/>
    </row>
    <row r="12" spans="1:10">
      <c r="A12" s="12" t="s">
        <v>79</v>
      </c>
      <c r="B12" s="22">
        <v>1762</v>
      </c>
      <c r="C12" s="24">
        <v>1029494.690638762</v>
      </c>
      <c r="D12" s="24">
        <v>117979.770301531</v>
      </c>
      <c r="E12" s="26">
        <v>0.11459968800000001</v>
      </c>
      <c r="F12" s="24">
        <v>584.27621489149999</v>
      </c>
      <c r="G12" s="26">
        <v>0.55679878630000001</v>
      </c>
      <c r="H12" s="26">
        <v>0.1021448896</v>
      </c>
      <c r="I12" s="26">
        <v>-8.2715105000000008E-3</v>
      </c>
      <c r="J12" s="26"/>
    </row>
    <row r="13" spans="1:10">
      <c r="A13" s="12" t="s">
        <v>80</v>
      </c>
      <c r="B13" s="22">
        <v>1706</v>
      </c>
      <c r="C13" s="24">
        <v>1018338.599974533</v>
      </c>
      <c r="D13" s="24">
        <v>113467.940118142</v>
      </c>
      <c r="E13" s="26">
        <v>0.1114245695</v>
      </c>
      <c r="F13" s="24">
        <v>596.91594371309998</v>
      </c>
      <c r="G13" s="26">
        <v>0.56692606999999995</v>
      </c>
      <c r="H13" s="26">
        <v>0.1024163429</v>
      </c>
      <c r="I13" s="26">
        <v>-1.08364723E-2</v>
      </c>
      <c r="J13" s="26"/>
    </row>
    <row r="14" spans="1:10">
      <c r="A14" s="12" t="s">
        <v>81</v>
      </c>
      <c r="B14" s="22">
        <v>1775</v>
      </c>
      <c r="C14" s="24">
        <v>1049154.2704332899</v>
      </c>
      <c r="D14" s="24">
        <v>101757.87003983901</v>
      </c>
      <c r="E14" s="26">
        <v>9.6990378700000004E-2</v>
      </c>
      <c r="F14" s="24">
        <v>591.07282841309996</v>
      </c>
      <c r="G14" s="26">
        <v>0.54809505849999995</v>
      </c>
      <c r="H14" s="26">
        <v>0.10099962329999999</v>
      </c>
      <c r="I14" s="26">
        <v>3.0260730999999999E-2</v>
      </c>
      <c r="J14" s="26"/>
    </row>
    <row r="15" spans="1:10">
      <c r="A15" s="12" t="s">
        <v>82</v>
      </c>
      <c r="B15" s="22">
        <v>1729</v>
      </c>
      <c r="C15" s="24">
        <v>1029120.240618734</v>
      </c>
      <c r="D15" s="24">
        <v>104427.360119529</v>
      </c>
      <c r="E15" s="26">
        <v>0.1014724577</v>
      </c>
      <c r="F15" s="24">
        <v>595.21124385120004</v>
      </c>
      <c r="G15" s="26">
        <v>0.54269340970000002</v>
      </c>
      <c r="H15" s="26">
        <v>0.1015931237</v>
      </c>
      <c r="I15" s="26">
        <v>-1.9095408899999999E-2</v>
      </c>
      <c r="J15" s="26"/>
    </row>
    <row r="16" spans="1:10">
      <c r="A16" s="12" t="s">
        <v>83</v>
      </c>
      <c r="B16" s="22">
        <v>1805</v>
      </c>
      <c r="C16" s="24">
        <v>1057840.8806148011</v>
      </c>
      <c r="D16" s="24">
        <v>110641.549880989</v>
      </c>
      <c r="E16" s="26">
        <v>0.1045918643</v>
      </c>
      <c r="F16" s="24">
        <v>586.06142970350004</v>
      </c>
      <c r="G16" s="26">
        <v>0.54682554459999999</v>
      </c>
      <c r="H16" s="26">
        <v>0.1022081554</v>
      </c>
      <c r="I16" s="26">
        <v>2.7907953700000002E-2</v>
      </c>
      <c r="J16" s="26"/>
    </row>
    <row r="17" spans="1:10">
      <c r="A17" s="12" t="s">
        <v>84</v>
      </c>
      <c r="B17" s="22">
        <v>1772</v>
      </c>
      <c r="C17" s="24">
        <v>1046308.250500212</v>
      </c>
      <c r="D17" s="24">
        <v>106780.95022869699</v>
      </c>
      <c r="E17" s="26">
        <v>0.1020549634</v>
      </c>
      <c r="F17" s="24">
        <v>590.4674099888</v>
      </c>
      <c r="G17" s="26">
        <v>0.55576452890000005</v>
      </c>
      <c r="H17" s="26">
        <v>0.10135226679999999</v>
      </c>
      <c r="I17" s="26">
        <v>-1.09020462E-2</v>
      </c>
      <c r="J17" s="26">
        <v>-5.0227077999999998E-3</v>
      </c>
    </row>
    <row r="18" spans="1:10">
      <c r="A18" s="12" t="s">
        <v>85</v>
      </c>
      <c r="B18" s="22">
        <v>1650</v>
      </c>
      <c r="C18" s="24">
        <v>968542.849025412</v>
      </c>
      <c r="D18" s="24">
        <v>86809.490641662996</v>
      </c>
      <c r="E18" s="26">
        <v>8.9628962399999998E-2</v>
      </c>
      <c r="F18" s="24">
        <v>586.99566607600002</v>
      </c>
      <c r="G18" s="26">
        <v>0.54147936249999995</v>
      </c>
      <c r="H18" s="26">
        <v>0.1018471603</v>
      </c>
      <c r="I18" s="26">
        <v>-7.4323605299999998E-2</v>
      </c>
      <c r="J18" s="26">
        <v>4.4803136299999997E-2</v>
      </c>
    </row>
    <row r="19" spans="1:10">
      <c r="A19" s="12" t="s">
        <v>86</v>
      </c>
      <c r="B19" s="22">
        <v>1764</v>
      </c>
      <c r="C19" s="24">
        <v>1025853.120817973</v>
      </c>
      <c r="D19" s="24">
        <v>101259.99024981</v>
      </c>
      <c r="E19" s="26">
        <v>9.8708078399999996E-2</v>
      </c>
      <c r="F19" s="24">
        <v>581.5493882188</v>
      </c>
      <c r="G19" s="26">
        <v>0.55758157389999996</v>
      </c>
      <c r="H19" s="26">
        <v>0.1017907874</v>
      </c>
      <c r="I19" s="26">
        <v>5.9171643099999997E-2</v>
      </c>
      <c r="J19" s="26">
        <v>-2.41621692E-2</v>
      </c>
    </row>
    <row r="20" spans="1:10">
      <c r="A20" s="12" t="s">
        <v>87</v>
      </c>
      <c r="B20" s="22">
        <v>1706</v>
      </c>
      <c r="C20" s="24">
        <v>1001211.579778363</v>
      </c>
      <c r="D20" s="24">
        <v>114976.61990693799</v>
      </c>
      <c r="E20" s="26">
        <v>0.1148374851</v>
      </c>
      <c r="F20" s="24">
        <v>586.87665872119999</v>
      </c>
      <c r="G20" s="26">
        <v>0.55228565819999997</v>
      </c>
      <c r="H20" s="26">
        <v>0.1014910737</v>
      </c>
      <c r="I20" s="26">
        <v>-2.4020535199999998E-2</v>
      </c>
      <c r="J20" s="26">
        <v>-1.3062769599999999E-2</v>
      </c>
    </row>
    <row r="21" spans="1:10">
      <c r="A21" s="12" t="s">
        <v>88</v>
      </c>
      <c r="B21" s="22">
        <v>1763</v>
      </c>
      <c r="C21" s="24">
        <v>1029400.200723323</v>
      </c>
      <c r="D21" s="24">
        <v>110716.120111335</v>
      </c>
      <c r="E21" s="26">
        <v>0.1075540106</v>
      </c>
      <c r="F21" s="24">
        <v>583.89120857820001</v>
      </c>
      <c r="G21" s="26">
        <v>0.55658242170000005</v>
      </c>
      <c r="H21" s="26">
        <v>0.1013127127</v>
      </c>
      <c r="I21" s="26">
        <v>2.8154509500000001E-2</v>
      </c>
      <c r="J21" s="26">
        <v>-2.0065370799999999E-2</v>
      </c>
    </row>
    <row r="22" spans="1:10">
      <c r="A22" s="12" t="s">
        <v>89</v>
      </c>
      <c r="B22" s="22">
        <v>1690</v>
      </c>
      <c r="C22" s="24">
        <v>1003059.550005001</v>
      </c>
      <c r="D22" s="24">
        <v>104196.07010811901</v>
      </c>
      <c r="E22" s="26">
        <v>0.1038782494</v>
      </c>
      <c r="F22" s="24">
        <v>593.52636094970001</v>
      </c>
      <c r="G22" s="26">
        <v>0.56846062519999996</v>
      </c>
      <c r="H22" s="26">
        <v>0.10151761030000001</v>
      </c>
      <c r="I22" s="26">
        <v>-2.5588348100000002E-2</v>
      </c>
      <c r="J22" s="26">
        <v>-2.04555602E-2</v>
      </c>
    </row>
    <row r="23" spans="1:10">
      <c r="A23" s="12" t="s">
        <v>90</v>
      </c>
      <c r="B23" s="22">
        <v>1758</v>
      </c>
      <c r="C23" s="24">
        <v>1045715.620862</v>
      </c>
      <c r="D23" s="24">
        <v>119941.72018309199</v>
      </c>
      <c r="E23" s="26">
        <v>0.1146982199</v>
      </c>
      <c r="F23" s="24">
        <v>594.83254884070004</v>
      </c>
      <c r="G23" s="26">
        <v>0.51932139489999996</v>
      </c>
      <c r="H23" s="26">
        <v>0.1019189449</v>
      </c>
      <c r="I23" s="26">
        <v>4.2525960600000003E-2</v>
      </c>
      <c r="J23" s="26">
        <v>7.3543677000000003E-3</v>
      </c>
    </row>
    <row r="24" spans="1:10">
      <c r="A24" s="12" t="s">
        <v>91</v>
      </c>
      <c r="B24" s="22">
        <v>1766</v>
      </c>
      <c r="C24" s="24">
        <v>1048200.251113612</v>
      </c>
      <c r="D24" s="24">
        <v>110729.540117032</v>
      </c>
      <c r="E24" s="26">
        <v>0.1056377729</v>
      </c>
      <c r="F24" s="24">
        <v>593.54487605530005</v>
      </c>
      <c r="G24" s="26">
        <v>0.55268091490000004</v>
      </c>
      <c r="H24" s="26">
        <v>0.1014716916</v>
      </c>
      <c r="I24" s="26">
        <v>2.3760094999999998E-3</v>
      </c>
      <c r="J24" s="26">
        <v>1.8169652200000001E-2</v>
      </c>
    </row>
    <row r="25" spans="1:10">
      <c r="A25" s="12" t="s">
        <v>92</v>
      </c>
      <c r="B25" s="22">
        <v>1730</v>
      </c>
      <c r="C25" s="24">
        <v>1002397.039938014</v>
      </c>
      <c r="D25" s="24">
        <v>123384.709977059</v>
      </c>
      <c r="E25" s="26">
        <v>0.1230896591</v>
      </c>
      <c r="F25" s="24">
        <v>579.42025429939997</v>
      </c>
      <c r="G25" s="26">
        <v>0.54980620160000004</v>
      </c>
      <c r="H25" s="26">
        <v>0.1019224811</v>
      </c>
      <c r="I25" s="26">
        <v>-4.3697004599999999E-2</v>
      </c>
      <c r="J25" s="26">
        <v>-1.56544788E-2</v>
      </c>
    </row>
    <row r="26" spans="1:10">
      <c r="A26" s="12" t="s">
        <v>93</v>
      </c>
      <c r="B26" s="22">
        <v>1776</v>
      </c>
      <c r="C26" s="24">
        <v>1048130.550406502</v>
      </c>
      <c r="D26" s="24">
        <v>116781.97004818699</v>
      </c>
      <c r="E26" s="26">
        <v>0.11141929790000001</v>
      </c>
      <c r="F26" s="24">
        <v>590.16359820189996</v>
      </c>
      <c r="G26" s="26">
        <v>0.54779547979999998</v>
      </c>
      <c r="H26" s="26">
        <v>0.10151722909999999</v>
      </c>
      <c r="I26" s="26">
        <v>4.5624147599999998E-2</v>
      </c>
      <c r="J26" s="26">
        <v>-9.7575739999999998E-4</v>
      </c>
    </row>
    <row r="27" spans="1:10">
      <c r="A27" s="12" t="s">
        <v>94</v>
      </c>
      <c r="B27" s="22">
        <v>1721</v>
      </c>
      <c r="C27" s="24">
        <v>1047590.141074611</v>
      </c>
      <c r="D27" s="24">
        <v>109539.19996230899</v>
      </c>
      <c r="E27" s="26">
        <v>0.1045630306</v>
      </c>
      <c r="F27" s="24">
        <v>608.71013426759998</v>
      </c>
      <c r="G27" s="26">
        <v>0.54625719770000003</v>
      </c>
      <c r="H27" s="26">
        <v>0.10183109460000001</v>
      </c>
      <c r="I27" s="26">
        <v>-5.1559350000000002E-4</v>
      </c>
      <c r="J27" s="26">
        <v>1.7947271599999998E-2</v>
      </c>
    </row>
    <row r="28" spans="1:10">
      <c r="A28" s="12" t="s">
        <v>95</v>
      </c>
      <c r="B28" s="22">
        <v>1763</v>
      </c>
      <c r="C28" s="24">
        <v>1037408.170125002</v>
      </c>
      <c r="D28" s="24">
        <v>105002.68993700801</v>
      </c>
      <c r="E28" s="26">
        <v>0.1012163707</v>
      </c>
      <c r="F28" s="24">
        <v>588.43344873789999</v>
      </c>
      <c r="G28" s="26">
        <v>0.56063769220000004</v>
      </c>
      <c r="H28" s="26">
        <v>0.10210096840000001</v>
      </c>
      <c r="I28" s="26">
        <v>-9.7194223000000007E-3</v>
      </c>
      <c r="J28" s="26">
        <v>-1.9315485800000001E-2</v>
      </c>
    </row>
    <row r="29" spans="1:10">
      <c r="A29" s="12" t="s">
        <v>96</v>
      </c>
      <c r="B29" s="22">
        <v>1745</v>
      </c>
      <c r="C29" s="24">
        <v>1029698.020147722</v>
      </c>
      <c r="D29" s="24">
        <v>114843.850276999</v>
      </c>
      <c r="E29" s="26">
        <v>0.1115315831</v>
      </c>
      <c r="F29" s="24">
        <v>590.08482529959997</v>
      </c>
      <c r="G29" s="26">
        <v>0.53613187659999995</v>
      </c>
      <c r="H29" s="26">
        <v>0.10143377470000001</v>
      </c>
      <c r="I29" s="26">
        <v>-7.4321277E-3</v>
      </c>
      <c r="J29" s="26">
        <v>-1.5875083000000002E-2</v>
      </c>
    </row>
    <row r="30" spans="1:10">
      <c r="A30" s="12" t="s">
        <v>97</v>
      </c>
      <c r="B30" s="22">
        <v>1614</v>
      </c>
      <c r="C30" s="24">
        <v>992534.89879035205</v>
      </c>
      <c r="D30" s="24">
        <v>115111.070097214</v>
      </c>
      <c r="E30" s="26">
        <v>0.11597684900000001</v>
      </c>
      <c r="F30" s="24">
        <v>614.95346889120003</v>
      </c>
      <c r="G30" s="26">
        <v>0.54667753770000005</v>
      </c>
      <c r="H30" s="26">
        <v>0.1015368941</v>
      </c>
      <c r="I30" s="26">
        <v>-3.6091281699999998E-2</v>
      </c>
      <c r="J30" s="26">
        <v>2.4771283799999998E-2</v>
      </c>
    </row>
    <row r="31" spans="1:10">
      <c r="A31" s="12" t="s">
        <v>98</v>
      </c>
      <c r="B31" s="22">
        <v>1782</v>
      </c>
      <c r="C31" s="24">
        <v>1048004.781065341</v>
      </c>
      <c r="D31" s="24">
        <v>118688.90021145</v>
      </c>
      <c r="E31" s="26">
        <v>0.1132522507</v>
      </c>
      <c r="F31" s="24">
        <v>588.10593774710003</v>
      </c>
      <c r="G31" s="26">
        <v>0.55264634369999999</v>
      </c>
      <c r="H31" s="26">
        <v>0.10123433749999999</v>
      </c>
      <c r="I31" s="26">
        <v>5.5887085000000003E-2</v>
      </c>
      <c r="J31" s="26">
        <v>2.1593403399999999E-2</v>
      </c>
    </row>
    <row r="32" spans="1:10">
      <c r="A32" s="12" t="s">
        <v>99</v>
      </c>
      <c r="B32" s="22">
        <v>1739</v>
      </c>
      <c r="C32" s="24">
        <v>1038321.620870051</v>
      </c>
      <c r="D32" s="24">
        <v>115961.06019266701</v>
      </c>
      <c r="E32" s="26">
        <v>0.11168125349999999</v>
      </c>
      <c r="F32" s="24">
        <v>597.07971297879999</v>
      </c>
      <c r="G32" s="26">
        <v>0.53779739059999998</v>
      </c>
      <c r="H32" s="26">
        <v>0.1023349967</v>
      </c>
      <c r="I32" s="26">
        <v>-9.2396144999999999E-3</v>
      </c>
      <c r="J32" s="26">
        <v>3.7065133700000003E-2</v>
      </c>
    </row>
    <row r="33" spans="1:10">
      <c r="A33" s="12" t="s">
        <v>100</v>
      </c>
      <c r="B33" s="22">
        <v>1763</v>
      </c>
      <c r="C33" s="24">
        <v>1105485.3218960899</v>
      </c>
      <c r="D33" s="24">
        <v>115014.64001427</v>
      </c>
      <c r="E33" s="26">
        <v>0.10403995219999999</v>
      </c>
      <c r="F33" s="24">
        <v>627.04782864209994</v>
      </c>
      <c r="G33" s="26">
        <v>0.53470001879999995</v>
      </c>
      <c r="H33" s="26">
        <v>0.1019860829</v>
      </c>
      <c r="I33" s="26">
        <v>6.4684871899999996E-2</v>
      </c>
      <c r="J33" s="26">
        <v>7.3912090900000005E-2</v>
      </c>
    </row>
    <row r="34" spans="1:10">
      <c r="A34" s="12" t="s">
        <v>101</v>
      </c>
      <c r="B34" s="22">
        <v>1676</v>
      </c>
      <c r="C34" s="24">
        <v>1032086.4903108199</v>
      </c>
      <c r="D34" s="24">
        <v>110399.290304686</v>
      </c>
      <c r="E34" s="26">
        <v>0.1069670918</v>
      </c>
      <c r="F34" s="24">
        <v>615.80339517350001</v>
      </c>
      <c r="G34" s="26">
        <v>0.53504342559999996</v>
      </c>
      <c r="H34" s="26">
        <v>0.1013411437</v>
      </c>
      <c r="I34" s="26">
        <v>-6.6395120899999993E-2</v>
      </c>
      <c r="J34" s="26">
        <v>2.8938401799999999E-2</v>
      </c>
    </row>
    <row r="35" spans="1:10">
      <c r="A35" s="12" t="s">
        <v>102</v>
      </c>
      <c r="B35" s="22">
        <v>1776</v>
      </c>
      <c r="C35" s="24">
        <v>1104373.3609792499</v>
      </c>
      <c r="D35" s="24">
        <v>113026.70003808101</v>
      </c>
      <c r="E35" s="26">
        <v>0.1023446454</v>
      </c>
      <c r="F35" s="24">
        <v>621.83184739820001</v>
      </c>
      <c r="G35" s="26">
        <v>0.54776231669999997</v>
      </c>
      <c r="H35" s="26">
        <v>0.10190861280000001</v>
      </c>
      <c r="I35" s="26">
        <v>7.0039547399999999E-2</v>
      </c>
      <c r="J35" s="26">
        <v>5.60933957E-2</v>
      </c>
    </row>
    <row r="36" spans="1:10">
      <c r="A36" s="12" t="s">
        <v>103</v>
      </c>
      <c r="B36" s="22">
        <v>1768</v>
      </c>
      <c r="C36" s="24">
        <v>1109337.17125681</v>
      </c>
      <c r="D36" s="24">
        <v>131501.16021114899</v>
      </c>
      <c r="E36" s="26">
        <v>0.1185402992</v>
      </c>
      <c r="F36" s="24">
        <v>627.45315116339998</v>
      </c>
      <c r="G36" s="26">
        <v>0.56437323279999996</v>
      </c>
      <c r="H36" s="26">
        <v>0.10199623050000001</v>
      </c>
      <c r="I36" s="26">
        <v>4.4946849000000004E-3</v>
      </c>
      <c r="J36" s="26">
        <v>5.8325610999999999E-2</v>
      </c>
    </row>
    <row r="37" spans="1:10">
      <c r="A37" s="12" t="s">
        <v>104</v>
      </c>
      <c r="B37" s="22">
        <v>1723</v>
      </c>
      <c r="C37" s="24">
        <v>1143775.1076231899</v>
      </c>
      <c r="D37" s="24">
        <v>122462.39015285199</v>
      </c>
      <c r="E37" s="26">
        <v>0.1070685918</v>
      </c>
      <c r="F37" s="24">
        <v>663.827688696</v>
      </c>
      <c r="G37" s="26">
        <v>0.54230102140000003</v>
      </c>
      <c r="H37" s="26">
        <v>0.10141645840000001</v>
      </c>
      <c r="I37" s="26">
        <v>3.10437054E-2</v>
      </c>
      <c r="J37" s="26">
        <v>0.14103998919999999</v>
      </c>
    </row>
    <row r="38" spans="1:10">
      <c r="A38" s="12" t="s">
        <v>105</v>
      </c>
      <c r="B38" s="22">
        <v>2101</v>
      </c>
      <c r="C38" s="24">
        <v>1073994.1690205599</v>
      </c>
      <c r="D38" s="24">
        <v>113447.16988253201</v>
      </c>
      <c r="E38" s="26">
        <v>0.1056310855</v>
      </c>
      <c r="F38" s="24">
        <v>511.18237459329998</v>
      </c>
      <c r="G38" s="26">
        <v>0.53658536590000006</v>
      </c>
      <c r="H38" s="26">
        <v>0.1006208431</v>
      </c>
      <c r="I38" s="26">
        <v>-6.1009317399999999E-2</v>
      </c>
      <c r="J38" s="26">
        <v>2.4675951500000001E-2</v>
      </c>
    </row>
    <row r="39" spans="1:10">
      <c r="A39" s="12" t="s">
        <v>106</v>
      </c>
      <c r="B39" s="22">
        <v>2055</v>
      </c>
      <c r="C39" s="24">
        <v>626914.38366701</v>
      </c>
      <c r="D39" s="24">
        <v>67791.250204682001</v>
      </c>
      <c r="E39" s="26">
        <v>0.108134782</v>
      </c>
      <c r="F39" s="24">
        <v>305.06782660200003</v>
      </c>
      <c r="G39" s="26">
        <v>0.55085158150000002</v>
      </c>
      <c r="H39" s="26">
        <v>0.10149878399999999</v>
      </c>
      <c r="I39" s="26">
        <v>-0.4162776654</v>
      </c>
      <c r="J39" s="26">
        <v>-0.40156521229999997</v>
      </c>
    </row>
    <row r="40" spans="1:10">
      <c r="A40" s="12" t="s">
        <v>107</v>
      </c>
      <c r="B40" s="22">
        <v>2124</v>
      </c>
      <c r="C40" s="24">
        <v>503910.81734302</v>
      </c>
      <c r="D40" s="24">
        <v>65837.629744941005</v>
      </c>
      <c r="E40" s="26">
        <v>0.13065333679999999</v>
      </c>
      <c r="F40" s="24">
        <v>237.246147525</v>
      </c>
      <c r="G40" s="26">
        <v>0.55178907720000003</v>
      </c>
      <c r="H40" s="26">
        <v>0.1018596992</v>
      </c>
      <c r="I40" s="26">
        <v>-0.19620472829999999</v>
      </c>
      <c r="J40" s="26">
        <v>-0.51425983340000003</v>
      </c>
    </row>
    <row r="41" spans="1:10">
      <c r="A41" s="12" t="s">
        <v>108</v>
      </c>
      <c r="B41" s="22">
        <v>2123</v>
      </c>
      <c r="C41" s="24">
        <v>331650.11515684001</v>
      </c>
      <c r="D41" s="24">
        <v>33841.889977086001</v>
      </c>
      <c r="E41" s="26">
        <v>0.1020409414</v>
      </c>
      <c r="F41" s="24">
        <v>156.21767082279999</v>
      </c>
      <c r="G41" s="26">
        <v>0.56288271310000004</v>
      </c>
      <c r="H41" s="26">
        <v>0.10215261470000001</v>
      </c>
      <c r="I41" s="26">
        <v>-0.34184759729999997</v>
      </c>
      <c r="J41" s="26">
        <v>-0.67791516669999996</v>
      </c>
    </row>
  </sheetData>
  <conditionalFormatting sqref="C5:C4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5:G41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/>
  </sheetViews>
  <sheetFormatPr baseColWidth="10" defaultColWidth="8.83203125" defaultRowHeight="14"/>
  <cols>
    <col min="1" max="1" width="26.33203125" customWidth="1"/>
    <col min="2" max="3" width="13.5" customWidth="1"/>
    <col min="4" max="4" width="9.83203125" customWidth="1"/>
    <col min="5" max="7" width="10.5" customWidth="1"/>
    <col min="8" max="8" width="11" customWidth="1"/>
    <col min="9" max="9" width="13.5" customWidth="1"/>
  </cols>
  <sheetData>
    <row r="1" spans="1:9" ht="24">
      <c r="A1" s="1" t="s">
        <v>109</v>
      </c>
      <c r="B1" s="1"/>
      <c r="C1" s="1"/>
      <c r="D1" s="1"/>
      <c r="E1" s="1"/>
      <c r="F1" s="1"/>
      <c r="G1" s="1"/>
      <c r="H1" s="1"/>
    </row>
    <row r="2" spans="1:9" ht="60">
      <c r="A2" s="2" t="s">
        <v>110</v>
      </c>
      <c r="B2" s="2"/>
      <c r="C2" s="2"/>
      <c r="D2" s="2"/>
      <c r="E2" s="2"/>
      <c r="F2" s="2"/>
      <c r="G2" s="2"/>
      <c r="H2" s="2"/>
    </row>
    <row r="4" spans="1:9" ht="15">
      <c r="A4" s="18" t="s">
        <v>111</v>
      </c>
      <c r="B4" s="19" t="s">
        <v>65</v>
      </c>
      <c r="C4" s="19" t="s">
        <v>3</v>
      </c>
      <c r="D4" s="19" t="s">
        <v>64</v>
      </c>
      <c r="E4" s="19" t="s">
        <v>112</v>
      </c>
      <c r="F4" s="19" t="s">
        <v>113</v>
      </c>
      <c r="G4" s="19" t="s">
        <v>66</v>
      </c>
      <c r="H4" s="19" t="s">
        <v>68</v>
      </c>
      <c r="I4" s="20" t="s">
        <v>114</v>
      </c>
    </row>
    <row r="5" spans="1:9">
      <c r="A5" s="11" t="s">
        <v>115</v>
      </c>
      <c r="B5" s="23">
        <v>6929653.6905749999</v>
      </c>
      <c r="C5" s="23">
        <v>756220.76718950202</v>
      </c>
      <c r="D5" s="21">
        <v>15164</v>
      </c>
      <c r="E5" s="21">
        <v>17325</v>
      </c>
      <c r="F5" s="25">
        <v>0.18838395020000001</v>
      </c>
      <c r="G5" s="25">
        <v>0.1091282192</v>
      </c>
      <c r="H5" s="25">
        <v>0.54926406930000005</v>
      </c>
      <c r="I5" s="25">
        <v>0.1852236652</v>
      </c>
    </row>
    <row r="6" spans="1:9">
      <c r="A6" s="12" t="s">
        <v>116</v>
      </c>
      <c r="B6" s="24">
        <v>4431942.7831850601</v>
      </c>
      <c r="C6" s="24">
        <v>494636.91979056102</v>
      </c>
      <c r="D6" s="22">
        <v>20386</v>
      </c>
      <c r="E6" s="22">
        <v>73734</v>
      </c>
      <c r="F6" s="26">
        <v>0.1204832054</v>
      </c>
      <c r="G6" s="26">
        <v>0.11160724399999999</v>
      </c>
      <c r="H6" s="26">
        <v>0.54971284269999998</v>
      </c>
      <c r="I6" s="26">
        <v>0.18695776140000001</v>
      </c>
    </row>
    <row r="7" spans="1:9">
      <c r="A7" s="12" t="s">
        <v>117</v>
      </c>
      <c r="B7" s="24">
        <v>4118425.5710189999</v>
      </c>
      <c r="C7" s="24">
        <v>427455.56810573098</v>
      </c>
      <c r="D7" s="22">
        <v>12299</v>
      </c>
      <c r="E7" s="22">
        <v>13729</v>
      </c>
      <c r="F7" s="26">
        <v>0.11196018050000001</v>
      </c>
      <c r="G7" s="26">
        <v>0.1037910145</v>
      </c>
      <c r="H7" s="26">
        <v>0.54534197679999996</v>
      </c>
      <c r="I7" s="26">
        <v>0.18865175910000001</v>
      </c>
    </row>
    <row r="8" spans="1:9">
      <c r="A8" s="12" t="s">
        <v>118</v>
      </c>
      <c r="B8" s="24">
        <v>3694843.1966299601</v>
      </c>
      <c r="C8" s="24">
        <v>383011.098484708</v>
      </c>
      <c r="D8" s="22">
        <v>11355</v>
      </c>
      <c r="E8" s="22">
        <v>37587</v>
      </c>
      <c r="F8" s="26">
        <v>0.1004450133</v>
      </c>
      <c r="G8" s="26">
        <v>0.1036609886</v>
      </c>
      <c r="H8" s="26">
        <v>0.5449667654</v>
      </c>
      <c r="I8" s="26">
        <v>0.1867542244</v>
      </c>
    </row>
    <row r="9" spans="1:9">
      <c r="A9" s="12" t="s">
        <v>119</v>
      </c>
      <c r="B9" s="24">
        <v>3147800</v>
      </c>
      <c r="C9" s="24">
        <v>350421.02956734999</v>
      </c>
      <c r="D9" s="22">
        <v>17869</v>
      </c>
      <c r="E9" s="22">
        <v>62956</v>
      </c>
      <c r="F9" s="26">
        <v>8.5573540200000006E-2</v>
      </c>
      <c r="G9" s="26">
        <v>0.1113225204</v>
      </c>
      <c r="H9" s="26">
        <v>0.54556691229999998</v>
      </c>
      <c r="I9" s="26">
        <v>0.1864986927</v>
      </c>
    </row>
    <row r="10" spans="1:9">
      <c r="A10" s="12" t="s">
        <v>120</v>
      </c>
      <c r="B10" s="24">
        <v>3113844.6848579999</v>
      </c>
      <c r="C10" s="24">
        <v>325146.96003751998</v>
      </c>
      <c r="D10" s="22">
        <v>13758</v>
      </c>
      <c r="E10" s="22">
        <v>15540</v>
      </c>
      <c r="F10" s="26">
        <v>8.4650458499999998E-2</v>
      </c>
      <c r="G10" s="26">
        <v>0.1044197746</v>
      </c>
      <c r="H10" s="26">
        <v>0.54806949810000005</v>
      </c>
      <c r="I10" s="26">
        <v>0.18815958820000001</v>
      </c>
    </row>
    <row r="11" spans="1:9">
      <c r="A11" s="12" t="s">
        <v>121</v>
      </c>
      <c r="B11" s="24">
        <v>2891757.6623529997</v>
      </c>
      <c r="C11" s="24">
        <v>311902.820213578</v>
      </c>
      <c r="D11" s="22">
        <v>18783</v>
      </c>
      <c r="E11" s="22">
        <v>22246</v>
      </c>
      <c r="F11" s="26">
        <v>7.8612980700000001E-2</v>
      </c>
      <c r="G11" s="26">
        <v>0.1078592526</v>
      </c>
      <c r="H11" s="26">
        <v>0.54486199769999999</v>
      </c>
      <c r="I11" s="26">
        <v>0.1874044772</v>
      </c>
    </row>
    <row r="12" spans="1:9">
      <c r="A12" s="12" t="s">
        <v>122</v>
      </c>
      <c r="B12" s="24">
        <v>2888993.9135055002</v>
      </c>
      <c r="C12" s="24">
        <v>318451.43055419403</v>
      </c>
      <c r="D12" s="22">
        <v>16623</v>
      </c>
      <c r="E12" s="22">
        <v>57803</v>
      </c>
      <c r="F12" s="26">
        <v>7.8537847600000002E-2</v>
      </c>
      <c r="G12" s="26">
        <v>0.1102291802</v>
      </c>
      <c r="H12" s="26">
        <v>0.54746605869999998</v>
      </c>
      <c r="I12" s="26">
        <v>0.18742874910000001</v>
      </c>
    </row>
    <row r="13" spans="1:9">
      <c r="A13" s="12" t="s">
        <v>123</v>
      </c>
      <c r="B13" s="24">
        <v>1309522.04145468</v>
      </c>
      <c r="C13" s="24">
        <v>129813.960314822</v>
      </c>
      <c r="D13" s="22">
        <v>10136</v>
      </c>
      <c r="E13" s="22">
        <v>32726</v>
      </c>
      <c r="F13" s="26">
        <v>3.5599605100000001E-2</v>
      </c>
      <c r="G13" s="26">
        <v>9.91307944E-2</v>
      </c>
      <c r="H13" s="26">
        <v>0.55152949750000002</v>
      </c>
      <c r="I13" s="26">
        <v>0.19610342319999999</v>
      </c>
    </row>
    <row r="14" spans="1:9">
      <c r="A14" s="12" t="s">
        <v>124</v>
      </c>
      <c r="B14" s="24">
        <v>663000</v>
      </c>
      <c r="C14" s="24">
        <v>69656.81017112</v>
      </c>
      <c r="D14" s="22">
        <v>442</v>
      </c>
      <c r="E14" s="22">
        <v>442</v>
      </c>
      <c r="F14" s="26">
        <v>1.80237808E-2</v>
      </c>
      <c r="G14" s="26">
        <v>0.10506306209999999</v>
      </c>
      <c r="H14" s="26">
        <v>0.50678733030000001</v>
      </c>
      <c r="I14" s="26">
        <v>0.165158371</v>
      </c>
    </row>
    <row r="15" spans="1:9">
      <c r="A15" s="12" t="s">
        <v>125</v>
      </c>
      <c r="B15" s="24">
        <v>371034.64318789</v>
      </c>
      <c r="C15" s="24">
        <v>40891.379917646998</v>
      </c>
      <c r="D15" s="22">
        <v>3061</v>
      </c>
      <c r="E15" s="22">
        <v>9436</v>
      </c>
      <c r="F15" s="26">
        <v>1.00866472E-2</v>
      </c>
      <c r="G15" s="26">
        <v>0.11020906179999999</v>
      </c>
      <c r="H15" s="26">
        <v>0.56083650190000001</v>
      </c>
      <c r="I15" s="26">
        <v>0.1780735108</v>
      </c>
    </row>
    <row r="16" spans="1:9">
      <c r="A16" s="12" t="s">
        <v>126</v>
      </c>
      <c r="B16" s="24">
        <v>267607.68503200001</v>
      </c>
      <c r="C16" s="24">
        <v>30289.799945645002</v>
      </c>
      <c r="D16" s="22">
        <v>592</v>
      </c>
      <c r="E16" s="22">
        <v>592</v>
      </c>
      <c r="F16" s="26">
        <v>7.2749657000000002E-3</v>
      </c>
      <c r="G16" s="26">
        <v>0.1131873322</v>
      </c>
      <c r="H16" s="26">
        <v>0.58108108110000001</v>
      </c>
      <c r="I16" s="26">
        <v>0.18243243240000001</v>
      </c>
    </row>
    <row r="17" spans="1:9">
      <c r="A17" s="12" t="s">
        <v>127</v>
      </c>
      <c r="B17" s="24">
        <v>257768.72827640001</v>
      </c>
      <c r="C17" s="24">
        <v>33443.010106141002</v>
      </c>
      <c r="D17" s="22">
        <v>484</v>
      </c>
      <c r="E17" s="22">
        <v>484</v>
      </c>
      <c r="F17" s="26">
        <v>7.0074917999999996E-3</v>
      </c>
      <c r="G17" s="26">
        <v>0.1297403697</v>
      </c>
      <c r="H17" s="26">
        <v>0.55785123969999995</v>
      </c>
      <c r="I17" s="26">
        <v>0.1694214876</v>
      </c>
    </row>
    <row r="18" spans="1:9">
      <c r="A18" s="12" t="s">
        <v>128</v>
      </c>
      <c r="B18" s="24">
        <v>232829.2039772</v>
      </c>
      <c r="C18" s="24">
        <v>27178.099596872999</v>
      </c>
      <c r="D18" s="22">
        <v>652</v>
      </c>
      <c r="E18" s="22">
        <v>652</v>
      </c>
      <c r="F18" s="26">
        <v>6.3295061E-3</v>
      </c>
      <c r="G18" s="26">
        <v>0.1167297707</v>
      </c>
      <c r="H18" s="26">
        <v>0.53374233130000004</v>
      </c>
      <c r="I18" s="26">
        <v>0.1917177914</v>
      </c>
    </row>
    <row r="19" spans="1:9">
      <c r="A19" s="12" t="s">
        <v>129</v>
      </c>
      <c r="B19" s="24">
        <v>223356.325324</v>
      </c>
      <c r="C19" s="24">
        <v>25531.17006045</v>
      </c>
      <c r="D19" s="22">
        <v>484</v>
      </c>
      <c r="E19" s="22">
        <v>484</v>
      </c>
      <c r="F19" s="26">
        <v>6.0719841000000004E-3</v>
      </c>
      <c r="G19" s="26">
        <v>0.1143069041</v>
      </c>
      <c r="H19" s="26">
        <v>0.55991735539999998</v>
      </c>
      <c r="I19" s="26">
        <v>0.1983471074</v>
      </c>
    </row>
    <row r="20" spans="1:9">
      <c r="A20" s="12" t="s">
        <v>130</v>
      </c>
      <c r="B20" s="24">
        <v>151706.2006334</v>
      </c>
      <c r="C20" s="24">
        <v>17288.569972693</v>
      </c>
      <c r="D20" s="22">
        <v>1191</v>
      </c>
      <c r="E20" s="22">
        <v>3615</v>
      </c>
      <c r="F20" s="26">
        <v>4.1241617999999997E-3</v>
      </c>
      <c r="G20" s="26">
        <v>0.11396086580000001</v>
      </c>
      <c r="H20" s="26">
        <v>0.55287260620000001</v>
      </c>
      <c r="I20" s="26">
        <v>0.19317235639999999</v>
      </c>
    </row>
    <row r="21" spans="1:9">
      <c r="A21" s="12" t="s">
        <v>131</v>
      </c>
      <c r="B21" s="24">
        <v>140283.00474500001</v>
      </c>
      <c r="C21" s="24">
        <v>19102.849930084001</v>
      </c>
      <c r="D21" s="22">
        <v>650</v>
      </c>
      <c r="E21" s="22">
        <v>650</v>
      </c>
      <c r="F21" s="26">
        <v>3.8136200999999998E-3</v>
      </c>
      <c r="G21" s="26">
        <v>0.13617365810000001</v>
      </c>
      <c r="H21" s="26">
        <v>0.56461538460000005</v>
      </c>
      <c r="I21" s="26">
        <v>0.1646153846</v>
      </c>
    </row>
    <row r="22" spans="1:9">
      <c r="A22" s="12" t="s">
        <v>132</v>
      </c>
      <c r="B22" s="24">
        <v>133671.50882501001</v>
      </c>
      <c r="C22" s="24">
        <v>16643.520073948999</v>
      </c>
      <c r="D22" s="22">
        <v>1753</v>
      </c>
      <c r="E22" s="22">
        <v>5349</v>
      </c>
      <c r="F22" s="26">
        <v>3.6338853E-3</v>
      </c>
      <c r="G22" s="26">
        <v>0.1245106023</v>
      </c>
      <c r="H22" s="26">
        <v>0.56966292129999996</v>
      </c>
      <c r="I22" s="26">
        <v>0.17921348309999999</v>
      </c>
    </row>
    <row r="23" spans="1:9">
      <c r="A23" s="12" t="s">
        <v>133</v>
      </c>
      <c r="B23" s="24">
        <v>117006.75</v>
      </c>
      <c r="C23" s="24">
        <v>12518.610118848001</v>
      </c>
      <c r="D23" s="22">
        <v>357</v>
      </c>
      <c r="E23" s="22">
        <v>357</v>
      </c>
      <c r="F23" s="26">
        <v>3.1808507000000001E-3</v>
      </c>
      <c r="G23" s="26">
        <v>0.10699049519999999</v>
      </c>
      <c r="H23" s="26">
        <v>0.55462184869999998</v>
      </c>
      <c r="I23" s="26">
        <v>0.16806722690000001</v>
      </c>
    </row>
    <row r="24" spans="1:9">
      <c r="A24" s="12" t="s">
        <v>134</v>
      </c>
      <c r="B24" s="24">
        <v>116695.390422906</v>
      </c>
      <c r="C24" s="24">
        <v>12975.490078118</v>
      </c>
      <c r="D24" s="22">
        <v>1064</v>
      </c>
      <c r="E24" s="22">
        <v>2961</v>
      </c>
      <c r="F24" s="26">
        <v>3.1723862999999998E-3</v>
      </c>
      <c r="G24" s="26">
        <v>0.1111911107</v>
      </c>
      <c r="H24" s="26">
        <v>0.56261682239999999</v>
      </c>
      <c r="I24" s="26">
        <v>0.1682242991</v>
      </c>
    </row>
    <row r="25" spans="1:9">
      <c r="A25" s="12" t="s">
        <v>135</v>
      </c>
      <c r="B25" s="24">
        <v>113122.0973526</v>
      </c>
      <c r="C25" s="24">
        <v>14436.31992285</v>
      </c>
      <c r="D25" s="22">
        <v>434</v>
      </c>
      <c r="E25" s="22">
        <v>434</v>
      </c>
      <c r="F25" s="26">
        <v>3.0752457000000001E-3</v>
      </c>
      <c r="G25" s="26">
        <v>0.12761715230000001</v>
      </c>
      <c r="H25" s="26">
        <v>0.57142857140000003</v>
      </c>
      <c r="I25" s="26">
        <v>0.18433179720000001</v>
      </c>
    </row>
    <row r="26" spans="1:9">
      <c r="A26" s="12" t="s">
        <v>136</v>
      </c>
      <c r="B26" s="24">
        <v>108991.2821119</v>
      </c>
      <c r="C26" s="24">
        <v>13223.399925575</v>
      </c>
      <c r="D26" s="22">
        <v>431</v>
      </c>
      <c r="E26" s="22">
        <v>431</v>
      </c>
      <c r="F26" s="26">
        <v>2.9629487000000002E-3</v>
      </c>
      <c r="G26" s="26">
        <v>0.12132529929999999</v>
      </c>
      <c r="H26" s="26">
        <v>0.55220417629999996</v>
      </c>
      <c r="I26" s="26">
        <v>0.18329466359999999</v>
      </c>
    </row>
    <row r="27" spans="1:9">
      <c r="A27" s="12" t="s">
        <v>137</v>
      </c>
      <c r="B27" s="24">
        <v>107998</v>
      </c>
      <c r="C27" s="24">
        <v>12406.070142828999</v>
      </c>
      <c r="D27" s="22">
        <v>523</v>
      </c>
      <c r="E27" s="22">
        <v>1444</v>
      </c>
      <c r="F27" s="26">
        <v>2.9359461000000001E-3</v>
      </c>
      <c r="G27" s="26">
        <v>0.1148731471</v>
      </c>
      <c r="H27" s="26">
        <v>0.55534351150000005</v>
      </c>
      <c r="I27" s="26">
        <v>0.2118320611</v>
      </c>
    </row>
    <row r="28" spans="1:9">
      <c r="A28" s="12" t="s">
        <v>138</v>
      </c>
      <c r="B28" s="24">
        <v>106080.483077</v>
      </c>
      <c r="C28" s="24">
        <v>9493.6299742640003</v>
      </c>
      <c r="D28" s="22">
        <v>362</v>
      </c>
      <c r="E28" s="22">
        <v>362</v>
      </c>
      <c r="F28" s="26">
        <v>2.8838180999999998E-3</v>
      </c>
      <c r="G28" s="26">
        <v>8.9494595999999996E-2</v>
      </c>
      <c r="H28" s="26">
        <v>0.55801104970000004</v>
      </c>
      <c r="I28" s="26">
        <v>0.2348066298</v>
      </c>
    </row>
    <row r="29" spans="1:9">
      <c r="A29" s="12" t="s">
        <v>139</v>
      </c>
      <c r="B29" s="24">
        <v>98797.579233729994</v>
      </c>
      <c r="C29" s="24">
        <v>9045.8398955379998</v>
      </c>
      <c r="D29" s="22">
        <v>373</v>
      </c>
      <c r="E29" s="22">
        <v>645</v>
      </c>
      <c r="F29" s="26">
        <v>2.6858309E-3</v>
      </c>
      <c r="G29" s="26">
        <v>9.1559327300000007E-2</v>
      </c>
      <c r="H29" s="26">
        <v>0.53385416669999997</v>
      </c>
      <c r="I29" s="26">
        <v>0.20052083330000001</v>
      </c>
    </row>
  </sheetData>
  <conditionalFormatting sqref="B5:B29">
    <cfRule type="dataBar" priority="1">
      <dataBar>
        <cfvo type="min"/>
        <cfvo type="max"/>
        <color rgb="FF147C7C"/>
      </dataBar>
    </cfRule>
    <cfRule type="dataBar" priority="3">
      <dataBar>
        <cfvo type="min"/>
        <cfvo type="max"/>
        <color rgb="FF147C7C"/>
      </dataBar>
      <extLst>
        <ext xmlns:x14="http://schemas.microsoft.com/office/spreadsheetml/2009/9/main" uri="{B025F937-C7B1-47D3-B67F-A62EFF666E3E}">
          <x14:id>{2C4B221F-7A9F-5B14-5686-A36A505231AC}</x14:id>
        </ext>
      </extLst>
    </cfRule>
  </conditionalFormatting>
  <conditionalFormatting sqref="H5:H29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4B221F-7A9F-5B14-5686-A36A505231AC}">
            <x14:dataBar>
              <x14:cfvo type="min"/>
              <x14:cfvo type="max"/>
              <x14:negativeFillColor auto="1"/>
              <x14:axisColor auto="1"/>
            </x14:dataBar>
          </x14:cfRule>
          <xm:sqref>B5:B29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/>
  </sheetViews>
  <sheetFormatPr baseColWidth="10" defaultColWidth="8.83203125" defaultRowHeight="14"/>
  <cols>
    <col min="1" max="1" width="16.5" customWidth="1"/>
    <col min="2" max="2" width="11.6640625" customWidth="1"/>
    <col min="3" max="5" width="12.83203125" customWidth="1"/>
    <col min="6" max="6" width="10.5" customWidth="1"/>
    <col min="7" max="10" width="12.33203125" customWidth="1"/>
    <col min="11" max="11" width="12.83203125" customWidth="1"/>
  </cols>
  <sheetData>
    <row r="1" spans="1:11" ht="24">
      <c r="A1" s="1" t="s">
        <v>140</v>
      </c>
      <c r="B1" s="1"/>
      <c r="C1" s="1"/>
      <c r="D1" s="1"/>
      <c r="E1" s="1"/>
      <c r="F1" s="1"/>
      <c r="G1" s="1"/>
      <c r="H1" s="1"/>
    </row>
    <row r="2" spans="1:11" ht="90">
      <c r="A2" s="2" t="s">
        <v>141</v>
      </c>
      <c r="B2" s="2"/>
      <c r="C2" s="2"/>
      <c r="D2" s="2"/>
      <c r="E2" s="2"/>
      <c r="F2" s="2"/>
      <c r="G2" s="2"/>
      <c r="H2" s="2"/>
    </row>
    <row r="4" spans="1:11" ht="30">
      <c r="A4" s="13" t="s">
        <v>142</v>
      </c>
      <c r="B4" s="14" t="s">
        <v>64</v>
      </c>
      <c r="C4" s="14" t="s">
        <v>143</v>
      </c>
      <c r="D4" s="14" t="s">
        <v>65</v>
      </c>
      <c r="E4" s="14" t="s">
        <v>3</v>
      </c>
      <c r="F4" s="14" t="s">
        <v>66</v>
      </c>
      <c r="G4" s="14" t="s">
        <v>68</v>
      </c>
      <c r="H4" s="14" t="s">
        <v>144</v>
      </c>
      <c r="I4" s="14" t="s">
        <v>145</v>
      </c>
      <c r="J4" s="14" t="s">
        <v>146</v>
      </c>
      <c r="K4" s="15" t="s">
        <v>147</v>
      </c>
    </row>
    <row r="5" spans="1:11">
      <c r="A5" s="11" t="s">
        <v>148</v>
      </c>
      <c r="B5" s="21">
        <v>39324</v>
      </c>
      <c r="C5" s="21">
        <v>107752</v>
      </c>
      <c r="D5" s="23">
        <v>22022391.879809294</v>
      </c>
      <c r="E5" s="23">
        <v>2370454.4528039652</v>
      </c>
      <c r="F5" s="25">
        <v>0.107638374</v>
      </c>
      <c r="G5" s="25">
        <v>0.38071683119999999</v>
      </c>
      <c r="H5" s="27">
        <v>3.9959072684999999</v>
      </c>
      <c r="I5" s="27">
        <v>4</v>
      </c>
      <c r="J5" s="27">
        <v>-4.0927315000000002E-3</v>
      </c>
      <c r="K5" s="25">
        <v>0.41447002840000002</v>
      </c>
    </row>
    <row r="6" spans="1:11">
      <c r="A6" s="12" t="s">
        <v>149</v>
      </c>
      <c r="B6" s="22">
        <v>12778</v>
      </c>
      <c r="C6" s="22">
        <v>35216</v>
      </c>
      <c r="D6" s="24">
        <v>7145444.8183589149</v>
      </c>
      <c r="E6" s="24">
        <v>750308.17026543303</v>
      </c>
      <c r="F6" s="26">
        <v>0.10500510320000001</v>
      </c>
      <c r="G6" s="26">
        <v>0.76632780550000001</v>
      </c>
      <c r="H6" s="28">
        <v>3.9908280327000001</v>
      </c>
      <c r="I6" s="28">
        <v>2</v>
      </c>
      <c r="J6" s="28">
        <v>1.9908280327000001</v>
      </c>
      <c r="K6" s="26">
        <v>0.27265930469999999</v>
      </c>
    </row>
    <row r="7" spans="1:11">
      <c r="A7" s="12" t="s">
        <v>150</v>
      </c>
      <c r="B7" s="22">
        <v>10079</v>
      </c>
      <c r="C7" s="22">
        <v>27814</v>
      </c>
      <c r="D7" s="24">
        <v>5674369.7582025528</v>
      </c>
      <c r="E7" s="24">
        <v>643121.92073906097</v>
      </c>
      <c r="F7" s="26">
        <v>0.1133380354</v>
      </c>
      <c r="G7" s="26">
        <v>0.95322499459999999</v>
      </c>
      <c r="H7" s="28">
        <v>2</v>
      </c>
      <c r="I7" s="28">
        <v>1</v>
      </c>
      <c r="J7" s="28">
        <v>1</v>
      </c>
      <c r="K7" s="26">
        <v>0.2678703133</v>
      </c>
    </row>
    <row r="8" spans="1:11">
      <c r="A8" s="12" t="s">
        <v>151</v>
      </c>
      <c r="B8" s="22">
        <v>3571</v>
      </c>
      <c r="C8" s="22">
        <v>9737</v>
      </c>
      <c r="D8" s="24">
        <v>1942528.5570090851</v>
      </c>
      <c r="E8" s="24">
        <v>203018.43024189799</v>
      </c>
      <c r="F8" s="26">
        <v>0.1045124559</v>
      </c>
      <c r="G8" s="26">
        <v>0.45743042</v>
      </c>
      <c r="H8" s="28">
        <v>0.47827873059999998</v>
      </c>
      <c r="I8" s="28">
        <v>0</v>
      </c>
      <c r="J8" s="28">
        <v>0.47827873059999998</v>
      </c>
      <c r="K8" s="26">
        <v>4.5000353600000001E-2</v>
      </c>
    </row>
  </sheetData>
  <conditionalFormatting sqref="G5:G8">
    <cfRule type="colorScale" priority="1">
      <colorScale>
        <cfvo type="min"/>
        <cfvo type="percentile" val="50"/>
        <cfvo type="max"/>
        <color rgb="FFDCFCE7"/>
        <color rgb="FFFEF3C7"/>
        <color rgb="FFFCA5A5"/>
      </colorScale>
    </cfRule>
  </conditionalFormatting>
  <conditionalFormatting sqref="J5:J8"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workbookViewId="0"/>
  </sheetViews>
  <sheetFormatPr baseColWidth="10" defaultColWidth="8.83203125" defaultRowHeight="14"/>
  <cols>
    <col min="1" max="1" width="37.5" customWidth="1"/>
    <col min="2" max="2" width="12.83203125" customWidth="1"/>
    <col min="3" max="4" width="11" customWidth="1"/>
    <col min="5" max="5" width="21.5" customWidth="1"/>
    <col min="6" max="6" width="10.5" customWidth="1"/>
    <col min="7" max="8" width="12.33203125" customWidth="1"/>
    <col min="9" max="10" width="14.1640625" customWidth="1"/>
  </cols>
  <sheetData>
    <row r="1" spans="1:14" ht="24">
      <c r="A1" s="1" t="s">
        <v>152</v>
      </c>
      <c r="B1" s="1"/>
      <c r="C1" s="1"/>
      <c r="D1" s="1"/>
      <c r="E1" s="1"/>
      <c r="F1" s="1"/>
      <c r="G1" s="1"/>
      <c r="H1" s="1"/>
    </row>
    <row r="2" spans="1:14" ht="30">
      <c r="A2" s="2" t="s">
        <v>153</v>
      </c>
      <c r="B2" s="2"/>
      <c r="C2" s="2"/>
      <c r="D2" s="2"/>
      <c r="E2" s="2"/>
      <c r="F2" s="2"/>
      <c r="G2" s="2"/>
      <c r="H2" s="2"/>
    </row>
    <row r="4" spans="1:14" ht="16">
      <c r="A4" s="29" t="s">
        <v>154</v>
      </c>
      <c r="L4" s="29" t="s">
        <v>155</v>
      </c>
    </row>
    <row r="5" spans="1:14" ht="30">
      <c r="A5" s="18" t="s">
        <v>156</v>
      </c>
      <c r="B5" s="19" t="s">
        <v>157</v>
      </c>
      <c r="C5" s="19" t="s">
        <v>158</v>
      </c>
      <c r="D5" s="19" t="s">
        <v>159</v>
      </c>
      <c r="E5" s="19" t="s">
        <v>160</v>
      </c>
      <c r="F5" s="19" t="s">
        <v>64</v>
      </c>
      <c r="G5" s="19" t="s">
        <v>65</v>
      </c>
      <c r="H5" s="19" t="s">
        <v>3</v>
      </c>
      <c r="I5" s="19" t="s">
        <v>161</v>
      </c>
      <c r="J5" s="20" t="s">
        <v>68</v>
      </c>
      <c r="L5" s="13" t="s">
        <v>63</v>
      </c>
      <c r="M5" s="14" t="s">
        <v>158</v>
      </c>
      <c r="N5" s="15" t="s">
        <v>159</v>
      </c>
    </row>
    <row r="6" spans="1:14">
      <c r="A6" s="11" t="s">
        <v>162</v>
      </c>
      <c r="B6" s="11" t="s">
        <v>163</v>
      </c>
      <c r="C6" s="21">
        <v>27878</v>
      </c>
      <c r="D6" s="21">
        <v>2773</v>
      </c>
      <c r="E6" s="11" t="s">
        <v>116</v>
      </c>
      <c r="F6" s="21">
        <v>20359</v>
      </c>
      <c r="G6" s="23">
        <v>4421143.1435378604</v>
      </c>
      <c r="H6" s="23">
        <v>493828.29978218098</v>
      </c>
      <c r="I6" s="23">
        <v>158588.964184585</v>
      </c>
      <c r="J6" s="25">
        <v>0.54958188860000001</v>
      </c>
      <c r="L6" s="11" t="s">
        <v>104</v>
      </c>
      <c r="M6" s="21">
        <v>137238</v>
      </c>
      <c r="N6" s="21">
        <v>3325</v>
      </c>
    </row>
    <row r="7" spans="1:14">
      <c r="A7" s="12" t="s">
        <v>164</v>
      </c>
      <c r="B7" s="12" t="s">
        <v>165</v>
      </c>
      <c r="C7" s="22">
        <v>25627</v>
      </c>
      <c r="D7" s="22">
        <v>2730</v>
      </c>
      <c r="E7" s="12" t="s">
        <v>119</v>
      </c>
      <c r="F7" s="22">
        <v>17869</v>
      </c>
      <c r="G7" s="24">
        <v>3147800</v>
      </c>
      <c r="H7" s="24">
        <v>350421.02956734999</v>
      </c>
      <c r="I7" s="24">
        <v>122831.388769657</v>
      </c>
      <c r="J7" s="26">
        <v>0.54556691229999998</v>
      </c>
      <c r="L7" s="12" t="s">
        <v>105</v>
      </c>
      <c r="M7" s="22">
        <v>84205</v>
      </c>
      <c r="N7" s="22">
        <v>1884</v>
      </c>
    </row>
    <row r="8" spans="1:14">
      <c r="A8" s="12" t="s">
        <v>166</v>
      </c>
      <c r="B8" s="12" t="s">
        <v>163</v>
      </c>
      <c r="C8" s="22">
        <v>25241</v>
      </c>
      <c r="D8" s="22">
        <v>2703</v>
      </c>
      <c r="E8" s="12" t="s">
        <v>121</v>
      </c>
      <c r="F8" s="22">
        <v>18783</v>
      </c>
      <c r="G8" s="24">
        <v>2891757.6623529997</v>
      </c>
      <c r="H8" s="24">
        <v>311902.820213578</v>
      </c>
      <c r="I8" s="24">
        <v>114565.89130196899</v>
      </c>
      <c r="J8" s="26">
        <v>0.54486199769999999</v>
      </c>
      <c r="L8" s="12" t="s">
        <v>106</v>
      </c>
      <c r="M8" s="22">
        <v>80860</v>
      </c>
      <c r="N8" s="22">
        <v>3323</v>
      </c>
    </row>
    <row r="9" spans="1:14">
      <c r="A9" s="12" t="s">
        <v>167</v>
      </c>
      <c r="B9" s="12" t="s">
        <v>168</v>
      </c>
      <c r="C9" s="22">
        <v>16194</v>
      </c>
      <c r="D9" s="22">
        <v>2409</v>
      </c>
      <c r="E9" s="12" t="s">
        <v>122</v>
      </c>
      <c r="F9" s="22">
        <v>16623</v>
      </c>
      <c r="G9" s="24">
        <v>2888993.9135055002</v>
      </c>
      <c r="H9" s="24">
        <v>318451.43055419403</v>
      </c>
      <c r="I9" s="24">
        <v>178399.03133910711</v>
      </c>
      <c r="J9" s="26">
        <v>0.54746605869999998</v>
      </c>
      <c r="L9" s="12" t="s">
        <v>107</v>
      </c>
      <c r="M9" s="22">
        <v>84093</v>
      </c>
      <c r="N9" s="22">
        <v>1884</v>
      </c>
    </row>
    <row r="10" spans="1:14">
      <c r="A10" s="12" t="s">
        <v>169</v>
      </c>
      <c r="B10" s="12" t="s">
        <v>168</v>
      </c>
      <c r="C10" s="22">
        <v>16186</v>
      </c>
      <c r="D10" s="22">
        <v>2449</v>
      </c>
      <c r="E10" s="12" t="s">
        <v>120</v>
      </c>
      <c r="F10" s="22">
        <v>13727</v>
      </c>
      <c r="G10" s="24">
        <v>3099845.08525</v>
      </c>
      <c r="H10" s="24">
        <v>324076.37002029602</v>
      </c>
      <c r="I10" s="24">
        <v>191513.9679506981</v>
      </c>
      <c r="J10" s="26">
        <v>0.54787096769999999</v>
      </c>
      <c r="L10" s="12" t="s">
        <v>108</v>
      </c>
      <c r="M10" s="22">
        <v>83581</v>
      </c>
      <c r="N10" s="22">
        <v>3323</v>
      </c>
    </row>
    <row r="11" spans="1:14">
      <c r="A11" s="12" t="s">
        <v>170</v>
      </c>
      <c r="B11" s="12" t="s">
        <v>168</v>
      </c>
      <c r="C11" s="22">
        <v>15521</v>
      </c>
      <c r="D11" s="22">
        <v>2428</v>
      </c>
      <c r="E11" s="12" t="s">
        <v>117</v>
      </c>
      <c r="F11" s="22">
        <v>12299</v>
      </c>
      <c r="G11" s="24">
        <v>4118425.5710189999</v>
      </c>
      <c r="H11" s="24">
        <v>427455.56810573098</v>
      </c>
      <c r="I11" s="24">
        <v>265345.37536363641</v>
      </c>
      <c r="J11" s="26">
        <v>0.54534197679999996</v>
      </c>
    </row>
    <row r="12" spans="1:14">
      <c r="A12" s="12" t="s">
        <v>171</v>
      </c>
      <c r="B12" s="12" t="s">
        <v>168</v>
      </c>
      <c r="C12" s="22">
        <v>15178</v>
      </c>
      <c r="D12" s="22">
        <v>2405</v>
      </c>
      <c r="E12" s="12" t="s">
        <v>115</v>
      </c>
      <c r="F12" s="22">
        <v>15164</v>
      </c>
      <c r="G12" s="24">
        <v>6929653.6905749999</v>
      </c>
      <c r="H12" s="24">
        <v>756220.76718950202</v>
      </c>
      <c r="I12" s="24">
        <v>456559.07830906572</v>
      </c>
      <c r="J12" s="26">
        <v>0.54926406930000005</v>
      </c>
    </row>
    <row r="13" spans="1:14">
      <c r="A13" s="12" t="s">
        <v>172</v>
      </c>
      <c r="B13" s="12" t="s">
        <v>173</v>
      </c>
      <c r="C13" s="22">
        <v>13752</v>
      </c>
      <c r="D13" s="22">
        <v>2324</v>
      </c>
      <c r="E13" s="12" t="s">
        <v>174</v>
      </c>
      <c r="F13" s="22">
        <v>297</v>
      </c>
      <c r="G13" s="24">
        <v>29601.540641579999</v>
      </c>
      <c r="H13" s="24">
        <v>4067.610021172</v>
      </c>
      <c r="I13" s="24">
        <v>2152.526224664</v>
      </c>
      <c r="J13" s="26">
        <v>0.56856187290000004</v>
      </c>
    </row>
    <row r="14" spans="1:14">
      <c r="A14" s="12" t="s">
        <v>175</v>
      </c>
      <c r="B14" s="12" t="s">
        <v>165</v>
      </c>
      <c r="C14" s="22">
        <v>13716</v>
      </c>
      <c r="D14" s="22">
        <v>2336</v>
      </c>
      <c r="E14" s="12" t="s">
        <v>123</v>
      </c>
      <c r="F14" s="22">
        <v>304</v>
      </c>
      <c r="G14" s="24">
        <v>27840</v>
      </c>
      <c r="H14" s="24">
        <v>2454.8000322930002</v>
      </c>
      <c r="I14" s="24">
        <v>2029.7462817148</v>
      </c>
      <c r="J14" s="26">
        <v>0.53289473679999999</v>
      </c>
    </row>
    <row r="15" spans="1:14">
      <c r="A15" s="12" t="s">
        <v>176</v>
      </c>
      <c r="B15" s="12" t="s">
        <v>173</v>
      </c>
      <c r="C15" s="22">
        <v>13641</v>
      </c>
      <c r="D15" s="22">
        <v>2367</v>
      </c>
      <c r="E15" s="12" t="s">
        <v>118</v>
      </c>
      <c r="F15" s="22">
        <v>11092</v>
      </c>
      <c r="G15" s="24">
        <v>3667633.1966299601</v>
      </c>
      <c r="H15" s="24">
        <v>379915.81850343099</v>
      </c>
      <c r="I15" s="24">
        <v>268868.35251300927</v>
      </c>
      <c r="J15" s="26">
        <v>0.54474484349999996</v>
      </c>
    </row>
    <row r="16" spans="1:14">
      <c r="A16" s="12" t="s">
        <v>177</v>
      </c>
      <c r="B16" s="12" t="s">
        <v>173</v>
      </c>
      <c r="C16" s="22">
        <v>13448</v>
      </c>
      <c r="D16" s="22">
        <v>2304</v>
      </c>
      <c r="E16" s="12" t="s">
        <v>178</v>
      </c>
      <c r="F16" s="22">
        <v>68</v>
      </c>
      <c r="G16" s="24">
        <v>20597.939964180001</v>
      </c>
      <c r="H16" s="24">
        <v>714.42997970900001</v>
      </c>
      <c r="I16" s="24">
        <v>1531.6731085797001</v>
      </c>
      <c r="J16" s="26">
        <v>0.57352941180000006</v>
      </c>
    </row>
    <row r="17" spans="1:10">
      <c r="A17" s="12" t="s">
        <v>179</v>
      </c>
      <c r="B17" s="12" t="s">
        <v>180</v>
      </c>
      <c r="C17" s="22">
        <v>13275</v>
      </c>
      <c r="D17" s="22">
        <v>2318</v>
      </c>
      <c r="E17" s="12" t="s">
        <v>181</v>
      </c>
      <c r="F17" s="22">
        <v>327</v>
      </c>
      <c r="G17" s="24">
        <v>44585.090624320001</v>
      </c>
      <c r="H17" s="24">
        <v>5747.979996385</v>
      </c>
      <c r="I17" s="24">
        <v>3358.5755649204998</v>
      </c>
      <c r="J17" s="26">
        <v>0.55792682930000004</v>
      </c>
    </row>
    <row r="18" spans="1:10">
      <c r="A18" s="12" t="s">
        <v>182</v>
      </c>
      <c r="B18" s="12" t="s">
        <v>180</v>
      </c>
      <c r="C18" s="22">
        <v>12676</v>
      </c>
      <c r="D18" s="22">
        <v>2252</v>
      </c>
      <c r="E18" s="12" t="s">
        <v>183</v>
      </c>
      <c r="F18" s="22">
        <v>279</v>
      </c>
      <c r="G18" s="24">
        <v>20866.649801889998</v>
      </c>
      <c r="H18" s="24">
        <v>2387.41000571</v>
      </c>
      <c r="I18" s="24">
        <v>1646.1541339452999</v>
      </c>
      <c r="J18" s="26">
        <v>0.6</v>
      </c>
    </row>
    <row r="19" spans="1:10">
      <c r="A19" s="12" t="s">
        <v>184</v>
      </c>
      <c r="B19" s="12" t="s">
        <v>165</v>
      </c>
      <c r="C19" s="22">
        <v>12511</v>
      </c>
      <c r="D19" s="22">
        <v>2273</v>
      </c>
      <c r="E19" s="12" t="s">
        <v>123</v>
      </c>
      <c r="F19" s="22">
        <v>9825</v>
      </c>
      <c r="G19" s="24">
        <v>1269082.67110818</v>
      </c>
      <c r="H19" s="24">
        <v>126278.510298901</v>
      </c>
      <c r="I19" s="24">
        <v>101437.3488216913</v>
      </c>
      <c r="J19" s="26">
        <v>0.5524159367</v>
      </c>
    </row>
    <row r="20" spans="1:10">
      <c r="A20" s="12" t="s">
        <v>185</v>
      </c>
      <c r="B20" s="12" t="s">
        <v>180</v>
      </c>
      <c r="C20" s="22">
        <v>12271</v>
      </c>
      <c r="D20" s="22">
        <v>2265</v>
      </c>
      <c r="E20" s="12" t="s">
        <v>186</v>
      </c>
      <c r="F20" s="22">
        <v>63</v>
      </c>
      <c r="G20" s="24">
        <v>7999.3598656000004</v>
      </c>
      <c r="H20" s="24">
        <v>602.37997346199995</v>
      </c>
      <c r="I20" s="24">
        <v>651.89144043680005</v>
      </c>
      <c r="J20" s="26">
        <v>0.59375</v>
      </c>
    </row>
    <row r="21" spans="1:10">
      <c r="A21" s="12" t="s">
        <v>187</v>
      </c>
      <c r="B21" s="12" t="s">
        <v>165</v>
      </c>
      <c r="C21" s="22">
        <v>8626</v>
      </c>
      <c r="D21" s="22">
        <v>1985</v>
      </c>
      <c r="E21" s="12" t="s">
        <v>130</v>
      </c>
      <c r="F21" s="22">
        <v>313</v>
      </c>
      <c r="G21" s="24">
        <v>67830</v>
      </c>
      <c r="H21" s="24">
        <v>8129.3999833059997</v>
      </c>
      <c r="I21" s="24">
        <v>7863.4361233480004</v>
      </c>
      <c r="J21" s="26">
        <v>0.51592356689999996</v>
      </c>
    </row>
    <row r="22" spans="1:10">
      <c r="A22" s="12" t="s">
        <v>188</v>
      </c>
      <c r="B22" s="12" t="s">
        <v>168</v>
      </c>
      <c r="C22" s="22">
        <v>8356</v>
      </c>
      <c r="D22" s="22">
        <v>1950</v>
      </c>
      <c r="E22" s="12" t="s">
        <v>189</v>
      </c>
      <c r="F22" s="22">
        <v>57</v>
      </c>
      <c r="G22" s="24">
        <v>17919</v>
      </c>
      <c r="H22" s="24">
        <v>2803.7999642670002</v>
      </c>
      <c r="I22" s="24">
        <v>2144.4471038775</v>
      </c>
      <c r="J22" s="26">
        <v>0.50877192979999997</v>
      </c>
    </row>
    <row r="23" spans="1:10">
      <c r="A23" s="12" t="s">
        <v>190</v>
      </c>
      <c r="B23" s="12" t="s">
        <v>165</v>
      </c>
      <c r="C23" s="22">
        <v>8099</v>
      </c>
      <c r="D23" s="22">
        <v>1944</v>
      </c>
      <c r="E23" s="12" t="s">
        <v>130</v>
      </c>
      <c r="F23" s="22">
        <v>289</v>
      </c>
      <c r="G23" s="24">
        <v>21475</v>
      </c>
      <c r="H23" s="24">
        <v>2833.7200007460001</v>
      </c>
      <c r="I23" s="24">
        <v>2651.5619212247998</v>
      </c>
      <c r="J23" s="26">
        <v>0.60899653980000001</v>
      </c>
    </row>
    <row r="24" spans="1:10">
      <c r="A24" s="12" t="s">
        <v>191</v>
      </c>
      <c r="B24" s="12" t="s">
        <v>165</v>
      </c>
      <c r="C24" s="22">
        <v>7856</v>
      </c>
      <c r="D24" s="22">
        <v>1929</v>
      </c>
      <c r="E24" s="12" t="s">
        <v>130</v>
      </c>
      <c r="F24" s="22">
        <v>298</v>
      </c>
      <c r="G24" s="24">
        <v>35191.200633400003</v>
      </c>
      <c r="H24" s="24">
        <v>3658.9799875170002</v>
      </c>
      <c r="I24" s="24">
        <v>4479.5316488544004</v>
      </c>
      <c r="J24" s="26">
        <v>0.52333333329999998</v>
      </c>
    </row>
    <row r="25" spans="1:10">
      <c r="A25" s="12" t="s">
        <v>192</v>
      </c>
      <c r="B25" s="12" t="s">
        <v>180</v>
      </c>
      <c r="C25" s="22">
        <v>7497</v>
      </c>
      <c r="D25" s="22">
        <v>1876</v>
      </c>
      <c r="E25" s="12" t="s">
        <v>193</v>
      </c>
      <c r="F25" s="22">
        <v>25</v>
      </c>
      <c r="G25" s="24">
        <v>8909.7297354000002</v>
      </c>
      <c r="H25" s="24">
        <v>479.28001603000001</v>
      </c>
      <c r="I25" s="24">
        <v>1188.4393404561999</v>
      </c>
      <c r="J25" s="26">
        <v>0.51851851849999997</v>
      </c>
    </row>
  </sheetData>
  <conditionalFormatting sqref="I6:I2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/>
  </sheetViews>
  <sheetFormatPr baseColWidth="10" defaultColWidth="8.83203125" defaultRowHeight="14"/>
  <cols>
    <col min="1" max="1" width="27.6640625" customWidth="1"/>
    <col min="2" max="2" width="21.5" customWidth="1"/>
    <col min="3" max="3" width="63.1640625" customWidth="1"/>
  </cols>
  <sheetData>
    <row r="1" spans="1:8" ht="24">
      <c r="A1" s="1" t="s">
        <v>194</v>
      </c>
      <c r="B1" s="1"/>
      <c r="C1" s="1"/>
      <c r="D1" s="1"/>
      <c r="E1" s="1"/>
      <c r="F1" s="1"/>
      <c r="G1" s="1"/>
      <c r="H1" s="1"/>
    </row>
    <row r="2" spans="1:8" ht="45">
      <c r="A2" s="2" t="s">
        <v>195</v>
      </c>
      <c r="B2" s="2"/>
      <c r="C2" s="2"/>
      <c r="D2" s="2"/>
      <c r="E2" s="2"/>
      <c r="F2" s="2"/>
      <c r="G2" s="2"/>
      <c r="H2" s="2"/>
    </row>
    <row r="4" spans="1:8" ht="15">
      <c r="A4" s="13" t="s">
        <v>196</v>
      </c>
      <c r="B4" s="14" t="s">
        <v>197</v>
      </c>
      <c r="C4" s="15" t="s">
        <v>198</v>
      </c>
    </row>
    <row r="5" spans="1:8" ht="15">
      <c r="A5" s="11" t="s">
        <v>199</v>
      </c>
      <c r="B5" s="11">
        <v>180519</v>
      </c>
      <c r="C5" s="16" t="s">
        <v>200</v>
      </c>
    </row>
    <row r="6" spans="1:8" ht="15">
      <c r="A6" s="12" t="s">
        <v>6</v>
      </c>
      <c r="B6" s="12">
        <v>65752</v>
      </c>
      <c r="C6" s="17" t="s">
        <v>201</v>
      </c>
    </row>
    <row r="7" spans="1:8" ht="15">
      <c r="A7" s="12" t="s">
        <v>202</v>
      </c>
      <c r="B7" s="12">
        <v>20652</v>
      </c>
      <c r="C7" s="17" t="s">
        <v>203</v>
      </c>
    </row>
    <row r="8" spans="1:8" ht="15">
      <c r="A8" s="12" t="s">
        <v>204</v>
      </c>
      <c r="B8" s="12" t="s">
        <v>205</v>
      </c>
      <c r="C8" s="17" t="s">
        <v>206</v>
      </c>
    </row>
    <row r="9" spans="1:8" ht="15">
      <c r="A9" s="12" t="s">
        <v>207</v>
      </c>
      <c r="B9" s="12">
        <v>469977</v>
      </c>
      <c r="C9" s="17" t="s">
        <v>208</v>
      </c>
    </row>
    <row r="10" spans="1:8" ht="15">
      <c r="A10" s="12" t="s">
        <v>209</v>
      </c>
      <c r="B10" s="12" t="s">
        <v>210</v>
      </c>
      <c r="C10" s="17" t="s">
        <v>211</v>
      </c>
    </row>
    <row r="11" spans="1:8" ht="15">
      <c r="A11" s="12" t="s">
        <v>212</v>
      </c>
      <c r="B11" s="12" t="s">
        <v>213</v>
      </c>
      <c r="C11" s="17" t="s">
        <v>214</v>
      </c>
    </row>
    <row r="12" spans="1:8" ht="15">
      <c r="A12" s="12" t="s">
        <v>215</v>
      </c>
      <c r="B12" s="12" t="s">
        <v>216</v>
      </c>
      <c r="C12" s="17" t="s">
        <v>217</v>
      </c>
    </row>
    <row r="13" spans="1:8" ht="15">
      <c r="A13" s="12" t="s">
        <v>218</v>
      </c>
      <c r="B13" s="12" t="s">
        <v>219</v>
      </c>
      <c r="C13" s="17" t="s">
        <v>220</v>
      </c>
    </row>
    <row r="16" spans="1:8" ht="16">
      <c r="A16" s="30" t="s">
        <v>221</v>
      </c>
    </row>
    <row r="17" spans="1:12" ht="30">
      <c r="A17" s="31" t="s">
        <v>222</v>
      </c>
      <c r="B17" s="32" t="s">
        <v>65</v>
      </c>
      <c r="C17" s="32" t="s">
        <v>3</v>
      </c>
      <c r="D17" s="32" t="s">
        <v>64</v>
      </c>
      <c r="E17" s="32" t="s">
        <v>68</v>
      </c>
      <c r="F17" s="33" t="s">
        <v>71</v>
      </c>
      <c r="I17" s="31" t="s">
        <v>223</v>
      </c>
      <c r="J17" s="32" t="s">
        <v>65</v>
      </c>
      <c r="K17" s="32" t="s">
        <v>3</v>
      </c>
      <c r="L17" s="33" t="s">
        <v>68</v>
      </c>
    </row>
    <row r="18" spans="1:12">
      <c r="A18" s="11">
        <v>2015</v>
      </c>
      <c r="B18" s="23">
        <v>12340831.430882765</v>
      </c>
      <c r="C18" s="23">
        <v>1318856.901270499</v>
      </c>
      <c r="D18" s="21">
        <v>20904</v>
      </c>
      <c r="E18" s="25">
        <v>0.5486352753</v>
      </c>
      <c r="F18" s="25"/>
      <c r="I18" s="11" t="s">
        <v>224</v>
      </c>
      <c r="J18" s="23">
        <v>19095790.155173309</v>
      </c>
      <c r="K18" s="23">
        <v>2073487.671913526</v>
      </c>
      <c r="L18" s="25">
        <v>0.54808350439999998</v>
      </c>
    </row>
    <row r="19" spans="1:12">
      <c r="A19" s="12">
        <v>2016</v>
      </c>
      <c r="B19" s="24">
        <v>12303817.324370025</v>
      </c>
      <c r="C19" s="24">
        <v>1310119.071471249</v>
      </c>
      <c r="D19" s="22">
        <v>20859</v>
      </c>
      <c r="E19" s="26">
        <v>0.5506954436</v>
      </c>
      <c r="F19" s="26">
        <v>-2.9993202999999999E-3</v>
      </c>
      <c r="I19" s="12" t="s">
        <v>225</v>
      </c>
      <c r="J19" s="24">
        <v>11168406.842990831</v>
      </c>
      <c r="K19" s="24">
        <v>1202574.961506601</v>
      </c>
      <c r="L19" s="26">
        <v>0.54722663309999997</v>
      </c>
    </row>
    <row r="20" spans="1:12">
      <c r="A20" s="12">
        <v>2017</v>
      </c>
      <c r="B20" s="24">
        <v>11808436.142970216</v>
      </c>
      <c r="C20" s="24">
        <v>1304085.1113315229</v>
      </c>
      <c r="D20" s="22">
        <v>21866</v>
      </c>
      <c r="E20" s="26">
        <v>0.5444770283</v>
      </c>
      <c r="F20" s="26">
        <v>-4.0262397300000002E-2</v>
      </c>
      <c r="I20" s="12" t="s">
        <v>226</v>
      </c>
      <c r="J20" s="24">
        <v>6520538.0152157061</v>
      </c>
      <c r="K20" s="24">
        <v>690840.34063023003</v>
      </c>
      <c r="L20" s="26">
        <v>0.5507044002</v>
      </c>
    </row>
    <row r="21" spans="1:12">
      <c r="A21" s="12">
        <v>2018</v>
      </c>
      <c r="B21" s="24">
        <v>331650.11515684001</v>
      </c>
      <c r="C21" s="24">
        <v>33841.889977086001</v>
      </c>
      <c r="D21" s="22">
        <v>2123</v>
      </c>
      <c r="E21" s="26">
        <v>0.56288271310000004</v>
      </c>
      <c r="F21" s="26">
        <v>-0.97191413739999999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workbookViewId="0"/>
  </sheetViews>
  <sheetFormatPr baseColWidth="10" defaultColWidth="8.83203125" defaultRowHeight="14"/>
  <cols>
    <col min="1" max="1" width="21.5" customWidth="1"/>
    <col min="2" max="3" width="12.83203125" customWidth="1"/>
    <col min="4" max="7" width="12.33203125" customWidth="1"/>
    <col min="8" max="8" width="12.83203125" customWidth="1"/>
    <col min="9" max="9" width="17.83203125" customWidth="1"/>
  </cols>
  <sheetData>
    <row r="1" spans="1:13" ht="24">
      <c r="A1" s="1" t="s">
        <v>227</v>
      </c>
      <c r="B1" s="1"/>
      <c r="C1" s="1"/>
      <c r="D1" s="1"/>
      <c r="E1" s="1"/>
      <c r="F1" s="1"/>
      <c r="G1" s="1"/>
      <c r="H1" s="1"/>
    </row>
    <row r="2" spans="1:13" ht="45">
      <c r="A2" s="2" t="s">
        <v>228</v>
      </c>
      <c r="B2" s="2"/>
      <c r="C2" s="2"/>
      <c r="D2" s="2"/>
      <c r="E2" s="2"/>
      <c r="F2" s="2"/>
      <c r="G2" s="2"/>
      <c r="H2" s="2"/>
    </row>
    <row r="4" spans="1:13" ht="16">
      <c r="A4" s="29" t="s">
        <v>229</v>
      </c>
      <c r="I4" s="29" t="s">
        <v>230</v>
      </c>
    </row>
    <row r="5" spans="1:13" ht="15">
      <c r="A5" s="18" t="s">
        <v>231</v>
      </c>
      <c r="B5" s="19" t="s">
        <v>65</v>
      </c>
      <c r="C5" s="19" t="s">
        <v>3</v>
      </c>
      <c r="D5" s="19" t="s">
        <v>64</v>
      </c>
      <c r="E5" s="19" t="s">
        <v>113</v>
      </c>
      <c r="F5" s="19" t="s">
        <v>66</v>
      </c>
      <c r="G5" s="20" t="s">
        <v>68</v>
      </c>
      <c r="I5" s="13" t="s">
        <v>232</v>
      </c>
      <c r="J5" s="14" t="s">
        <v>65</v>
      </c>
      <c r="K5" s="14" t="s">
        <v>3</v>
      </c>
      <c r="L5" s="14" t="s">
        <v>64</v>
      </c>
      <c r="M5" s="15" t="s">
        <v>68</v>
      </c>
    </row>
    <row r="6" spans="1:13">
      <c r="A6" s="11" t="s">
        <v>233</v>
      </c>
      <c r="B6" s="23">
        <v>10872396.79565504</v>
      </c>
      <c r="C6" s="23">
        <v>1169442.960997907</v>
      </c>
      <c r="D6" s="21">
        <v>18561</v>
      </c>
      <c r="E6" s="25">
        <v>0.29556816959999999</v>
      </c>
      <c r="F6" s="25">
        <v>0.1075607323</v>
      </c>
      <c r="G6" s="25">
        <v>0.55207752929999998</v>
      </c>
      <c r="I6" s="11" t="s">
        <v>234</v>
      </c>
      <c r="J6" s="23">
        <v>5894380.7651076671</v>
      </c>
      <c r="K6" s="23">
        <v>625446.08054780599</v>
      </c>
      <c r="L6" s="21">
        <v>10010</v>
      </c>
      <c r="M6" s="25">
        <v>0.55848611159999995</v>
      </c>
    </row>
    <row r="7" spans="1:13">
      <c r="A7" s="12" t="s">
        <v>235</v>
      </c>
      <c r="B7" s="24">
        <v>10277612.840942344</v>
      </c>
      <c r="C7" s="24">
        <v>1123321.6114915421</v>
      </c>
      <c r="D7" s="22">
        <v>17181</v>
      </c>
      <c r="E7" s="26">
        <v>0.27939885489999999</v>
      </c>
      <c r="F7" s="26">
        <v>0.10929791079999999</v>
      </c>
      <c r="G7" s="26">
        <v>0.54355157580000002</v>
      </c>
      <c r="I7" s="12" t="s">
        <v>236</v>
      </c>
      <c r="J7" s="24">
        <v>5665712.101056057</v>
      </c>
      <c r="K7" s="24">
        <v>616341.57065080502</v>
      </c>
      <c r="L7" s="22">
        <v>9396</v>
      </c>
      <c r="M7" s="26">
        <v>0.54754595819999996</v>
      </c>
    </row>
    <row r="8" spans="1:13">
      <c r="A8" s="12" t="s">
        <v>237</v>
      </c>
      <c r="B8" s="24">
        <v>8273743.7406170173</v>
      </c>
      <c r="C8" s="24">
        <v>857753.44110709894</v>
      </c>
      <c r="D8" s="22">
        <v>17577</v>
      </c>
      <c r="E8" s="26">
        <v>0.22492329329999999</v>
      </c>
      <c r="F8" s="26">
        <v>0.10367174379999999</v>
      </c>
      <c r="G8" s="26">
        <v>0.5504604944</v>
      </c>
      <c r="I8" s="12" t="s">
        <v>238</v>
      </c>
      <c r="J8" s="24">
        <v>2960881.4076283942</v>
      </c>
      <c r="K8" s="24">
        <v>335154.40081711602</v>
      </c>
      <c r="L8" s="22">
        <v>4979</v>
      </c>
      <c r="M8" s="26">
        <v>0.54308670910000001</v>
      </c>
    </row>
    <row r="9" spans="1:13">
      <c r="A9" s="12" t="s">
        <v>239</v>
      </c>
      <c r="B9" s="24">
        <v>5066528.710962289</v>
      </c>
      <c r="C9" s="24">
        <v>564313.780381358</v>
      </c>
      <c r="D9" s="22">
        <v>8579</v>
      </c>
      <c r="E9" s="26">
        <v>0.1377345442</v>
      </c>
      <c r="F9" s="26">
        <v>0.1113807525</v>
      </c>
      <c r="G9" s="26">
        <v>0.54800573669999997</v>
      </c>
      <c r="I9" s="12" t="s">
        <v>240</v>
      </c>
      <c r="J9" s="24">
        <v>2155830.6485881321</v>
      </c>
      <c r="K9" s="24">
        <v>233450.60064695799</v>
      </c>
      <c r="L9" s="22">
        <v>3716</v>
      </c>
      <c r="M9" s="26">
        <v>0.54044117650000001</v>
      </c>
    </row>
    <row r="10" spans="1:13">
      <c r="A10" s="12" t="s">
        <v>241</v>
      </c>
      <c r="B10" s="24">
        <v>2294452.9252031562</v>
      </c>
      <c r="C10" s="24">
        <v>252071.18007245101</v>
      </c>
      <c r="D10" s="22">
        <v>3854</v>
      </c>
      <c r="E10" s="26">
        <v>6.2375138099999998E-2</v>
      </c>
      <c r="F10" s="26">
        <v>0.10986112520000001</v>
      </c>
      <c r="G10" s="26">
        <v>0.54589288790000001</v>
      </c>
      <c r="I10" s="12" t="s">
        <v>242</v>
      </c>
      <c r="J10" s="24">
        <v>2047918.8168842611</v>
      </c>
      <c r="K10" s="24">
        <v>230829.22988296399</v>
      </c>
      <c r="L10" s="22">
        <v>3543</v>
      </c>
      <c r="M10" s="26">
        <v>0.54384476729999998</v>
      </c>
    </row>
    <row r="11" spans="1:13">
      <c r="I11" s="12" t="s">
        <v>243</v>
      </c>
      <c r="J11" s="24">
        <v>2016654.1995616141</v>
      </c>
      <c r="K11" s="24">
        <v>201478.02048424401</v>
      </c>
      <c r="L11" s="22">
        <v>4362</v>
      </c>
      <c r="M11" s="26">
        <v>0.54020496650000005</v>
      </c>
    </row>
    <row r="12" spans="1:13">
      <c r="I12" s="12" t="s">
        <v>244</v>
      </c>
      <c r="J12" s="24">
        <v>1932495.5668393909</v>
      </c>
      <c r="K12" s="24">
        <v>211342.81978621901</v>
      </c>
      <c r="L12" s="22">
        <v>4356</v>
      </c>
      <c r="M12" s="26">
        <v>0.55529929759999996</v>
      </c>
    </row>
    <row r="13" spans="1:13">
      <c r="I13" s="12" t="s">
        <v>245</v>
      </c>
      <c r="J13" s="24">
        <v>1651019.3322578929</v>
      </c>
      <c r="K13" s="24">
        <v>171825.640023621</v>
      </c>
      <c r="L13" s="22">
        <v>2806</v>
      </c>
      <c r="M13" s="26">
        <v>0.530776629</v>
      </c>
    </row>
    <row r="14" spans="1:13" ht="16">
      <c r="A14" s="29" t="s">
        <v>246</v>
      </c>
      <c r="I14" s="12" t="s">
        <v>247</v>
      </c>
      <c r="J14" s="24">
        <v>1571415.9613827839</v>
      </c>
      <c r="K14" s="24">
        <v>164940.66045519701</v>
      </c>
      <c r="L14" s="22">
        <v>2667</v>
      </c>
      <c r="M14" s="26">
        <v>0.53959714749999999</v>
      </c>
    </row>
    <row r="15" spans="1:13" ht="15">
      <c r="A15" s="18" t="s">
        <v>248</v>
      </c>
      <c r="B15" s="19" t="s">
        <v>143</v>
      </c>
      <c r="C15" s="19" t="s">
        <v>65</v>
      </c>
      <c r="D15" s="19" t="s">
        <v>3</v>
      </c>
      <c r="E15" s="19" t="s">
        <v>66</v>
      </c>
      <c r="F15" s="20" t="s">
        <v>68</v>
      </c>
      <c r="I15" s="12" t="s">
        <v>249</v>
      </c>
      <c r="J15" s="24">
        <v>1553680.920196465</v>
      </c>
      <c r="K15" s="24">
        <v>165703.90012391901</v>
      </c>
      <c r="L15" s="22">
        <v>3335</v>
      </c>
      <c r="M15" s="26">
        <v>0.56266977110000005</v>
      </c>
    </row>
    <row r="16" spans="1:13">
      <c r="A16" s="11" t="s">
        <v>250</v>
      </c>
      <c r="B16" s="21">
        <v>50142</v>
      </c>
      <c r="C16" s="23">
        <v>10214702.095316017</v>
      </c>
      <c r="D16" s="23">
        <v>1200626.2548698811</v>
      </c>
      <c r="E16" s="25">
        <v>0.1175390377</v>
      </c>
      <c r="F16" s="25">
        <v>0.54896095089999997</v>
      </c>
      <c r="I16" s="12" t="s">
        <v>251</v>
      </c>
      <c r="J16" s="24">
        <v>1486401.3381739529</v>
      </c>
      <c r="K16" s="24">
        <v>147368.01061427299</v>
      </c>
      <c r="L16" s="22">
        <v>3318</v>
      </c>
      <c r="M16" s="26">
        <v>0.5432692308</v>
      </c>
    </row>
    <row r="17" spans="1:13">
      <c r="A17" s="12" t="s">
        <v>252</v>
      </c>
      <c r="B17" s="22">
        <v>40116</v>
      </c>
      <c r="C17" s="24">
        <v>8173764.6462391717</v>
      </c>
      <c r="D17" s="24">
        <v>943058.54159612895</v>
      </c>
      <c r="E17" s="26">
        <v>0.1153762779</v>
      </c>
      <c r="F17" s="26">
        <v>0.54763685309999999</v>
      </c>
      <c r="I17" s="12" t="s">
        <v>253</v>
      </c>
      <c r="J17" s="24">
        <v>1371111.987017012</v>
      </c>
      <c r="K17" s="24">
        <v>156263.30019387099</v>
      </c>
      <c r="L17" s="22">
        <v>2323</v>
      </c>
      <c r="M17" s="26">
        <v>0.55661605209999998</v>
      </c>
    </row>
    <row r="18" spans="1:13">
      <c r="A18" s="12" t="s">
        <v>254</v>
      </c>
      <c r="B18" s="22">
        <v>30087</v>
      </c>
      <c r="C18" s="24">
        <v>6131172.7872574786</v>
      </c>
      <c r="D18" s="24">
        <v>646082.469403225</v>
      </c>
      <c r="E18" s="26">
        <v>0.1053766533</v>
      </c>
      <c r="F18" s="26">
        <v>0.54877521849999999</v>
      </c>
      <c r="I18" s="12" t="s">
        <v>255</v>
      </c>
      <c r="J18" s="24">
        <v>1174671.7836489039</v>
      </c>
      <c r="K18" s="24">
        <v>118815.41004700901</v>
      </c>
      <c r="L18" s="22">
        <v>2022</v>
      </c>
      <c r="M18" s="26">
        <v>0.55283741060000002</v>
      </c>
    </row>
    <row r="19" spans="1:13">
      <c r="A19" s="12" t="s">
        <v>256</v>
      </c>
      <c r="B19" s="22">
        <v>40116</v>
      </c>
      <c r="C19" s="24">
        <v>8176530.8564607622</v>
      </c>
      <c r="D19" s="24">
        <v>807926.24903839803</v>
      </c>
      <c r="E19" s="26">
        <v>9.8810395699999998E-2</v>
      </c>
      <c r="F19" s="26">
        <v>0.54287566060000003</v>
      </c>
      <c r="I19" s="12" t="s">
        <v>257</v>
      </c>
      <c r="J19" s="24">
        <v>1151355.773328393</v>
      </c>
      <c r="K19" s="24">
        <v>131094.22987493401</v>
      </c>
      <c r="L19" s="22">
        <v>1935</v>
      </c>
      <c r="M19" s="26">
        <v>0.55240360119999998</v>
      </c>
    </row>
    <row r="20" spans="1:13">
      <c r="A20" s="12" t="s">
        <v>258</v>
      </c>
      <c r="B20" s="22">
        <v>20058</v>
      </c>
      <c r="C20" s="24">
        <v>4088564.6281064157</v>
      </c>
      <c r="D20" s="24">
        <v>369209.45914272399</v>
      </c>
      <c r="E20" s="26">
        <v>9.0302952899999997E-2</v>
      </c>
      <c r="F20" s="26">
        <v>0.55803170800000002</v>
      </c>
      <c r="I20" s="12" t="s">
        <v>259</v>
      </c>
      <c r="J20" s="24">
        <v>785783.94566033001</v>
      </c>
      <c r="K20" s="24">
        <v>88114.879897506005</v>
      </c>
      <c r="L20" s="22">
        <v>1345</v>
      </c>
      <c r="M20" s="26">
        <v>0.55772558709999998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SCAN Insights Log</vt:lpstr>
      <vt:lpstr>Monthly Trends</vt:lpstr>
      <vt:lpstr>Category Performance</vt:lpstr>
      <vt:lpstr>Shipping Risk</vt:lpstr>
      <vt:lpstr>Digital Demand</vt:lpstr>
      <vt:lpstr>Data Coverage</vt:lpstr>
      <vt:lpstr>Raw 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Romines, Colton J</cp:lastModifiedBy>
  <dcterms:modified xsi:type="dcterms:W3CDTF">2026-05-29T12:30:53Z</dcterms:modified>
</cp:coreProperties>
</file>